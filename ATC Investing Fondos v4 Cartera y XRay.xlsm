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24" yWindow="528" windowWidth="18108" windowHeight="4188"/>
  </bookViews>
  <sheets>
    <sheet name="Fondos Estrella" sheetId="1" r:id="rId1"/>
    <sheet name="Riesgo Cartera" sheetId="3" r:id="rId2"/>
    <sheet name="Cartera ATC Investing" sheetId="4" r:id="rId3"/>
    <sheet name="Movimientos" sheetId="6" r:id="rId4"/>
    <sheet name="Carteras Modelo" sheetId="8" r:id="rId5"/>
    <sheet name="Leyenda" sheetId="5" r:id="rId6"/>
    <sheet name="Referidos" sheetId="7" r:id="rId7"/>
  </sheets>
  <calcPr calcId="145621"/>
</workbook>
</file>

<file path=xl/calcChain.xml><?xml version="1.0" encoding="utf-8"?>
<calcChain xmlns="http://schemas.openxmlformats.org/spreadsheetml/2006/main">
  <c r="BM44" i="4" l="1"/>
  <c r="BL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BL43" i="4"/>
  <c r="BM43" i="4" s="1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BL42" i="4"/>
  <c r="BM42" i="4" s="1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BL41" i="4"/>
  <c r="BM41" i="4" s="1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BM40" i="4"/>
  <c r="BL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BL39" i="4"/>
  <c r="BM39" i="4" s="1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BL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B38" i="4"/>
  <c r="D38" i="4" s="1"/>
  <c r="BL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B37" i="4"/>
  <c r="D37" i="4" s="1"/>
  <c r="BL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B36" i="4"/>
  <c r="D36" i="4" s="1"/>
  <c r="BL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B35" i="4"/>
  <c r="D35" i="4" s="1"/>
  <c r="BL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B34" i="4"/>
  <c r="D34" i="4" s="1"/>
  <c r="BL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B33" i="4"/>
  <c r="D33" i="4" s="1"/>
  <c r="BL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B32" i="4"/>
  <c r="D32" i="4" s="1"/>
  <c r="BL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B31" i="4"/>
  <c r="D31" i="4" s="1"/>
  <c r="BL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B30" i="4"/>
  <c r="D30" i="4" s="1"/>
  <c r="BL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B29" i="4"/>
  <c r="D29" i="4" s="1"/>
  <c r="BL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B28" i="4"/>
  <c r="D28" i="4" s="1"/>
  <c r="BL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B27" i="4"/>
  <c r="D27" i="4" s="1"/>
  <c r="BL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B26" i="4"/>
  <c r="D26" i="4" s="1"/>
  <c r="BL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B25" i="4"/>
  <c r="D25" i="4" s="1"/>
  <c r="BL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B24" i="4"/>
  <c r="D24" i="4" s="1"/>
  <c r="BL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B23" i="4"/>
  <c r="D23" i="4" s="1"/>
  <c r="BL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B22" i="4"/>
  <c r="D22" i="4" s="1"/>
  <c r="BL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B21" i="4"/>
  <c r="D21" i="4" s="1"/>
  <c r="BL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B20" i="4"/>
  <c r="D20" i="4" s="1"/>
  <c r="BL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B19" i="4"/>
  <c r="D19" i="4" s="1"/>
  <c r="BL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B18" i="4"/>
  <c r="D18" i="4" s="1"/>
  <c r="BL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B17" i="4"/>
  <c r="D17" i="4" s="1"/>
  <c r="BL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B16" i="4"/>
  <c r="D16" i="4" s="1"/>
  <c r="BL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B15" i="4"/>
  <c r="D15" i="4" s="1"/>
  <c r="BL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B14" i="4"/>
  <c r="D14" i="4" s="1"/>
  <c r="BL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B13" i="4"/>
  <c r="D13" i="4" s="1"/>
  <c r="BL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B12" i="4"/>
  <c r="D12" i="4" s="1"/>
  <c r="BL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B11" i="4"/>
  <c r="D11" i="4" s="1"/>
  <c r="BL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B10" i="4"/>
  <c r="D10" i="4" s="1"/>
  <c r="BL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B9" i="4"/>
  <c r="D9" i="4" s="1"/>
  <c r="BL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B8" i="4"/>
  <c r="D8" i="4" s="1"/>
  <c r="BL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B7" i="4"/>
  <c r="D7" i="4" s="1"/>
  <c r="BN6" i="4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L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G6" i="4"/>
  <c r="B6" i="4"/>
  <c r="D6" i="4" s="1"/>
  <c r="BN5" i="4"/>
  <c r="BL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B5" i="4"/>
  <c r="D5" i="4" s="1"/>
  <c r="BM44" i="3"/>
  <c r="BL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B44" i="3"/>
  <c r="D44" i="3" s="1"/>
  <c r="BL43" i="3"/>
  <c r="BM43" i="3" s="1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B43" i="3"/>
  <c r="D43" i="3" s="1"/>
  <c r="BL42" i="3"/>
  <c r="BM42" i="3" s="1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B42" i="3"/>
  <c r="D42" i="3" s="1"/>
  <c r="BL41" i="3"/>
  <c r="BM41" i="3" s="1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B41" i="3"/>
  <c r="D41" i="3" s="1"/>
  <c r="BM40" i="3"/>
  <c r="BL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B40" i="3"/>
  <c r="D40" i="3" s="1"/>
  <c r="BL39" i="3"/>
  <c r="BM39" i="3" s="1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B39" i="3"/>
  <c r="D39" i="3" s="1"/>
  <c r="BL38" i="3"/>
  <c r="BM38" i="3" s="1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B38" i="3"/>
  <c r="D38" i="3" s="1"/>
  <c r="BL37" i="3"/>
  <c r="BM37" i="3" s="1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B37" i="3"/>
  <c r="D37" i="3" s="1"/>
  <c r="BM36" i="3"/>
  <c r="BL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B36" i="3"/>
  <c r="D36" i="3" s="1"/>
  <c r="BL35" i="3"/>
  <c r="BM35" i="3" s="1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B35" i="3"/>
  <c r="D35" i="3" s="1"/>
  <c r="BM34" i="3"/>
  <c r="BL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B34" i="3"/>
  <c r="D34" i="3" s="1"/>
  <c r="BM33" i="3"/>
  <c r="BL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B33" i="3"/>
  <c r="D33" i="3" s="1"/>
  <c r="BL32" i="3"/>
  <c r="BM32" i="3" s="1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B32" i="3"/>
  <c r="D32" i="3" s="1"/>
  <c r="BM31" i="3"/>
  <c r="BL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B31" i="3"/>
  <c r="D31" i="3" s="1"/>
  <c r="BM30" i="3"/>
  <c r="BL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B30" i="3"/>
  <c r="D30" i="3" s="1"/>
  <c r="BM29" i="3"/>
  <c r="BL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B29" i="3"/>
  <c r="D29" i="3" s="1"/>
  <c r="BM28" i="3"/>
  <c r="BL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B28" i="3"/>
  <c r="D28" i="3" s="1"/>
  <c r="BL27" i="3"/>
  <c r="BM27" i="3" s="1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B27" i="3"/>
  <c r="D27" i="3" s="1"/>
  <c r="BM26" i="3"/>
  <c r="BL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B26" i="3"/>
  <c r="D26" i="3" s="1"/>
  <c r="BL25" i="3"/>
  <c r="BM25" i="3" s="1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B25" i="3"/>
  <c r="D25" i="3" s="1"/>
  <c r="BM24" i="3"/>
  <c r="BL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B24" i="3"/>
  <c r="D24" i="3" s="1"/>
  <c r="BL23" i="3"/>
  <c r="BM23" i="3" s="1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B23" i="3"/>
  <c r="D23" i="3" s="1"/>
  <c r="BM22" i="3"/>
  <c r="BL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B22" i="3"/>
  <c r="D22" i="3" s="1"/>
  <c r="BL21" i="3"/>
  <c r="BM21" i="3" s="1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B21" i="3"/>
  <c r="D21" i="3" s="1"/>
  <c r="BM20" i="3"/>
  <c r="BL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B20" i="3"/>
  <c r="D20" i="3" s="1"/>
  <c r="BL19" i="3"/>
  <c r="BM19" i="3" s="1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B19" i="3"/>
  <c r="D19" i="3" s="1"/>
  <c r="BM18" i="3"/>
  <c r="BL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B18" i="3"/>
  <c r="D18" i="3" s="1"/>
  <c r="BL17" i="3"/>
  <c r="BM17" i="3" s="1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B17" i="3"/>
  <c r="D17" i="3" s="1"/>
  <c r="BL16" i="3"/>
  <c r="BM16" i="3" s="1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D16" i="3"/>
  <c r="BM15" i="3"/>
  <c r="BL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B15" i="3"/>
  <c r="D15" i="3" s="1"/>
  <c r="BM14" i="3"/>
  <c r="BL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B14" i="3"/>
  <c r="D14" i="3" s="1"/>
  <c r="BL13" i="3"/>
  <c r="BM13" i="3" s="1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B13" i="3"/>
  <c r="D13" i="3" s="1"/>
  <c r="BL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B12" i="3"/>
  <c r="D12" i="3" s="1"/>
  <c r="BL11" i="3"/>
  <c r="BM11" i="3" s="1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B11" i="3"/>
  <c r="D11" i="3" s="1"/>
  <c r="BM10" i="3"/>
  <c r="BL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B10" i="3"/>
  <c r="D10" i="3" s="1"/>
  <c r="BL9" i="3"/>
  <c r="BM9" i="3" s="1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B9" i="3"/>
  <c r="D9" i="3" s="1"/>
  <c r="BM8" i="3"/>
  <c r="BL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B8" i="3"/>
  <c r="D8" i="3" s="1"/>
  <c r="BL7" i="3"/>
  <c r="BM7" i="3" s="1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B7" i="3"/>
  <c r="D7" i="3" s="1"/>
  <c r="BM6" i="3"/>
  <c r="BL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G6" i="3"/>
  <c r="B6" i="3"/>
  <c r="D6" i="3" s="1"/>
  <c r="BL5" i="3"/>
  <c r="BM5" i="3" s="1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B5" i="3"/>
  <c r="D5" i="3" s="1"/>
  <c r="BM12" i="3" l="1"/>
  <c r="BN5" i="3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O5" i="3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50" i="4"/>
  <c r="B54" i="4"/>
  <c r="B58" i="4"/>
  <c r="C58" i="4" s="1"/>
  <c r="B62" i="4"/>
  <c r="C62" i="4" s="1"/>
  <c r="B66" i="4"/>
  <c r="C66" i="4" s="1"/>
  <c r="B70" i="4"/>
  <c r="C70" i="4" s="1"/>
  <c r="B74" i="4"/>
  <c r="C74" i="4" s="1"/>
  <c r="B78" i="4"/>
  <c r="C78" i="4" s="1"/>
  <c r="B49" i="3"/>
  <c r="B53" i="3"/>
  <c r="B57" i="3"/>
  <c r="B61" i="3"/>
  <c r="B65" i="3"/>
  <c r="C65" i="3" s="1"/>
  <c r="B69" i="3"/>
  <c r="C69" i="3" s="1"/>
  <c r="B73" i="3"/>
  <c r="C73" i="3" s="1"/>
  <c r="B77" i="3"/>
  <c r="C77" i="3" s="1"/>
  <c r="G5" i="4"/>
  <c r="G16" i="4" s="1"/>
  <c r="G5" i="3"/>
  <c r="G15" i="3" s="1"/>
  <c r="B64" i="3"/>
  <c r="B78" i="3"/>
  <c r="C78" i="3" s="1"/>
  <c r="B47" i="4"/>
  <c r="B59" i="4"/>
  <c r="C59" i="4" s="1"/>
  <c r="B71" i="4"/>
  <c r="C71" i="4" s="1"/>
  <c r="B50" i="3"/>
  <c r="B74" i="3"/>
  <c r="C74" i="3" s="1"/>
  <c r="B55" i="4"/>
  <c r="B67" i="4"/>
  <c r="B79" i="4"/>
  <c r="C79" i="4" s="1"/>
  <c r="B71" i="3"/>
  <c r="C71" i="3" s="1"/>
  <c r="B79" i="3"/>
  <c r="C79" i="3" s="1"/>
  <c r="B48" i="4"/>
  <c r="B52" i="4"/>
  <c r="C52" i="4" s="1"/>
  <c r="B56" i="4"/>
  <c r="B60" i="4"/>
  <c r="B64" i="4"/>
  <c r="B68" i="4"/>
  <c r="C68" i="4" s="1"/>
  <c r="B72" i="4"/>
  <c r="C72" i="4" s="1"/>
  <c r="B76" i="4"/>
  <c r="C76" i="4" s="1"/>
  <c r="B48" i="3"/>
  <c r="B70" i="3"/>
  <c r="C70" i="3" s="1"/>
  <c r="B51" i="4"/>
  <c r="B63" i="4"/>
  <c r="B75" i="4"/>
  <c r="C75" i="4" s="1"/>
  <c r="B55" i="3"/>
  <c r="B75" i="3"/>
  <c r="C75" i="3" s="1"/>
  <c r="B52" i="3"/>
  <c r="C52" i="3" s="1"/>
  <c r="B68" i="3"/>
  <c r="C68" i="3" s="1"/>
  <c r="B72" i="3"/>
  <c r="C72" i="3" s="1"/>
  <c r="B76" i="3"/>
  <c r="C76" i="3" s="1"/>
  <c r="B49" i="4"/>
  <c r="B53" i="4"/>
  <c r="B57" i="4"/>
  <c r="B61" i="4"/>
  <c r="B65" i="4"/>
  <c r="C65" i="4" s="1"/>
  <c r="B69" i="4"/>
  <c r="C69" i="4" s="1"/>
  <c r="B73" i="4"/>
  <c r="C73" i="4" s="1"/>
  <c r="B77" i="4"/>
  <c r="C77" i="4" s="1"/>
  <c r="G16" i="3"/>
  <c r="B54" i="3"/>
  <c r="B58" i="3"/>
  <c r="C58" i="3" s="1"/>
  <c r="B62" i="3"/>
  <c r="C62" i="3" s="1"/>
  <c r="B66" i="3"/>
  <c r="C66" i="3" s="1"/>
  <c r="BM14" i="4"/>
  <c r="BM20" i="4"/>
  <c r="BM28" i="4"/>
  <c r="BM35" i="4"/>
  <c r="B51" i="3"/>
  <c r="B59" i="3"/>
  <c r="C59" i="3" s="1"/>
  <c r="B67" i="3"/>
  <c r="BM12" i="4"/>
  <c r="BM18" i="4"/>
  <c r="BM26" i="4"/>
  <c r="BM34" i="4"/>
  <c r="BM38" i="4"/>
  <c r="B47" i="3"/>
  <c r="B63" i="3"/>
  <c r="B56" i="3"/>
  <c r="B60" i="3"/>
  <c r="BM6" i="4"/>
  <c r="BM10" i="4"/>
  <c r="BM16" i="4"/>
  <c r="BM24" i="4"/>
  <c r="BM32" i="4"/>
  <c r="BM37" i="4"/>
  <c r="BM8" i="4"/>
  <c r="BM9" i="4"/>
  <c r="BM15" i="4"/>
  <c r="BM22" i="4"/>
  <c r="BM30" i="4"/>
  <c r="BM36" i="4"/>
  <c r="BM7" i="4"/>
  <c r="BM11" i="4"/>
  <c r="BM17" i="4"/>
  <c r="BM21" i="4"/>
  <c r="BM25" i="4"/>
  <c r="BM29" i="4"/>
  <c r="BM33" i="4"/>
  <c r="BM5" i="4"/>
  <c r="BM13" i="4"/>
  <c r="BM19" i="4"/>
  <c r="BM23" i="4"/>
  <c r="BM27" i="4"/>
  <c r="BM31" i="4"/>
  <c r="G15" i="4" l="1"/>
  <c r="F36" i="3"/>
  <c r="BO5" i="4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F35" i="4" s="1"/>
</calcChain>
</file>

<file path=xl/sharedStrings.xml><?xml version="1.0" encoding="utf-8"?>
<sst xmlns="http://schemas.openxmlformats.org/spreadsheetml/2006/main" count="2008" uniqueCount="847">
  <si>
    <t>Categoría</t>
  </si>
  <si>
    <t>  1 Año</t>
  </si>
  <si>
    <t>3 Años</t>
  </si>
  <si>
    <t>5 Años</t>
  </si>
  <si>
    <t> 10 Años</t>
  </si>
  <si>
    <t>Riesgo</t>
  </si>
  <si>
    <t>PER</t>
  </si>
  <si>
    <t>Sharpe</t>
  </si>
  <si>
    <t>Volatilidad</t>
  </si>
  <si>
    <t>Costes</t>
  </si>
  <si>
    <t>Patrimonio</t>
  </si>
  <si>
    <t>Gestor</t>
  </si>
  <si>
    <t> Inicio</t>
  </si>
  <si>
    <t>ISIN</t>
  </si>
  <si>
    <t>   RV</t>
  </si>
  <si>
    <t>  RF</t>
  </si>
  <si>
    <t>Estrellas</t>
  </si>
  <si>
    <t>  Alfa</t>
  </si>
  <si>
    <t>Beta</t>
  </si>
  <si>
    <t>Alza</t>
  </si>
  <si>
    <t>Bajada</t>
  </si>
  <si>
    <t>Drawdown</t>
  </si>
  <si>
    <t>Drawdown Cat</t>
  </si>
  <si>
    <t>EEUU</t>
  </si>
  <si>
    <t>Europa</t>
  </si>
  <si>
    <t>Otros Desarro</t>
  </si>
  <si>
    <t>Emergentes</t>
  </si>
  <si>
    <t>Tech</t>
  </si>
  <si>
    <t>Salud</t>
  </si>
  <si>
    <t>Finance</t>
  </si>
  <si>
    <t>Com</t>
  </si>
  <si>
    <t>BsicMat</t>
  </si>
  <si>
    <t>DefConsum</t>
  </si>
  <si>
    <t>Energy</t>
  </si>
  <si>
    <t>CiclicConsum</t>
  </si>
  <si>
    <t>Industry</t>
  </si>
  <si>
    <t>Inmobi</t>
  </si>
  <si>
    <t>SerPub</t>
  </si>
  <si>
    <t>Peso ATC</t>
  </si>
  <si>
    <t>Actualización</t>
  </si>
  <si>
    <t>MFS Contrarian Value I1</t>
  </si>
  <si>
    <t>RV Global Cap. Grande Value</t>
  </si>
  <si>
    <t xml:space="preserve">Benjamin Tingling, Zahid Kassam, </t>
  </si>
  <si>
    <t>LU1985812830</t>
  </si>
  <si>
    <t xml:space="preserve">Robeco QI Global Value Equities I </t>
  </si>
  <si>
    <t xml:space="preserve">Daniel Haesen, Jan Sytze Mosselaar, Wouter Tilgenkamp, </t>
  </si>
  <si>
    <t>LU1001396420</t>
  </si>
  <si>
    <t>Sigma Internacional Z</t>
  </si>
  <si>
    <t>RV Global Mid-Small Cap Value</t>
  </si>
  <si>
    <t xml:space="preserve">José Ramón Boluda Vicedo, Gabriel Castro Lafuente, </t>
  </si>
  <si>
    <t>ES0175902016</t>
  </si>
  <si>
    <t>Hamco Global Value F</t>
  </si>
  <si>
    <t xml:space="preserve">John Tidd Kimball, </t>
  </si>
  <si>
    <t>LU3038482157</t>
  </si>
  <si>
    <t>Brandes Global Value Fund I</t>
  </si>
  <si>
    <t xml:space="preserve">Brent Fredberg, Ted Kim, Kenneth Little, </t>
  </si>
  <si>
    <t>IE0031574209</t>
  </si>
  <si>
    <t>Groupama Global Active Equity IC</t>
  </si>
  <si>
    <t>RV Global Cap. Grande Blend</t>
  </si>
  <si>
    <t xml:space="preserve">Philippe Vialle, Julia Kung, Alessandro Roggero, </t>
  </si>
  <si>
    <t>FR0010722330</t>
  </si>
  <si>
    <t>Artisan Global Value Fund  I</t>
  </si>
  <si>
    <t xml:space="preserve">Michael J McKinnon, </t>
  </si>
  <si>
    <t>IE00B4M6YD48</t>
  </si>
  <si>
    <t>Robeco BP Global Premium Equities I</t>
  </si>
  <si>
    <t xml:space="preserve">Christopher K. Hart, Joshua M. Jones, Soyoun Song, </t>
  </si>
  <si>
    <t>LU0233138477</t>
  </si>
  <si>
    <t>Groupama Global Disruption IC</t>
  </si>
  <si>
    <t>RV Global Cap. Grande Growth</t>
  </si>
  <si>
    <t>LU1897556350</t>
  </si>
  <si>
    <t>Heptagon - Kopernik Global All-Cap Equity Fund IE</t>
  </si>
  <si>
    <t>RV Global Cap. Flexible</t>
  </si>
  <si>
    <t xml:space="preserve">David B. Iben, </t>
  </si>
  <si>
    <t>IE00BH4GYD31</t>
  </si>
  <si>
    <t>DWS ESG Akkumula TFC</t>
  </si>
  <si>
    <t xml:space="preserve">Andre Köttner, Tobias Rommel, </t>
  </si>
  <si>
    <t>DE000DWS2L90</t>
  </si>
  <si>
    <t>Sifter Fund Global PA</t>
  </si>
  <si>
    <t xml:space="preserve">Santeri Korpinen, </t>
  </si>
  <si>
    <t>LU0168736675</t>
  </si>
  <si>
    <t>Pzena Global Value Fund A</t>
  </si>
  <si>
    <t xml:space="preserve">Caroline Cai, John P. Goetz, Benjamin S. Silver, </t>
  </si>
  <si>
    <t>IE00BD5V3T87</t>
  </si>
  <si>
    <t xml:space="preserve">Janus Henderson Horizon Global Smaller Companies IU2 </t>
  </si>
  <si>
    <t>RV Global Mid-Small Cap</t>
  </si>
  <si>
    <t xml:space="preserve">Nick Sheridan, Ollie Beckett, Jonathan D. Coleman, </t>
  </si>
  <si>
    <t>LU1984712676</t>
  </si>
  <si>
    <t>DWS Invest CROCI World TFC</t>
  </si>
  <si>
    <t xml:space="preserve">Julien Boulliat, Shinil Balakrishnan, Adam Freeman, </t>
  </si>
  <si>
    <t>LU1902608444</t>
  </si>
  <si>
    <t xml:space="preserve">BNY Mellon Global Equity Income Fund W </t>
  </si>
  <si>
    <t>RV Global Alto Dividendo</t>
  </si>
  <si>
    <t xml:space="preserve">Jonathan Bell, Robert Hay, </t>
  </si>
  <si>
    <t>IE00B90JKR63</t>
  </si>
  <si>
    <t>Amundi MSCI World Index Fund IE-C</t>
  </si>
  <si>
    <t xml:space="preserve">David Heard, </t>
  </si>
  <si>
    <t>LU0996181599</t>
  </si>
  <si>
    <t>Allianz Best Styles Global Equity CT</t>
  </si>
  <si>
    <t xml:space="preserve">Erik Mulder, Kai Hirschen, </t>
  </si>
  <si>
    <t>LU1400637036</t>
  </si>
  <si>
    <t>Fidelity Global Dividend Fund Y</t>
  </si>
  <si>
    <t xml:space="preserve">Daniel Roberts, Tristan Purcell, </t>
  </si>
  <si>
    <t>LU1731833056</t>
  </si>
  <si>
    <t>M&amp;G Global Dividend CI</t>
  </si>
  <si>
    <t xml:space="preserve">Stuart Rhodes, Kathryn Leonard, </t>
  </si>
  <si>
    <t>LU1797813448</t>
  </si>
  <si>
    <t xml:space="preserve">Goldman Sachs Global Small Cap CORE Equity I </t>
  </si>
  <si>
    <t xml:space="preserve">Len Ioffe, Osman Ali, Takashi Suwabe, </t>
  </si>
  <si>
    <t>LU0328436547</t>
  </si>
  <si>
    <t>Blue Whale Growth Fund T</t>
  </si>
  <si>
    <t xml:space="preserve">Stephen Yiu, Matthew Stonebridge, </t>
  </si>
  <si>
    <t>IE00BJM0B852</t>
  </si>
  <si>
    <t>Fidelity FAST Global Fund Y</t>
  </si>
  <si>
    <t xml:space="preserve">Dmitry Solomakhin, </t>
  </si>
  <si>
    <t>LU0966156712</t>
  </si>
  <si>
    <t>Guinness Global Innovators Fund Y</t>
  </si>
  <si>
    <t xml:space="preserve">Ian Mortimer, Matthew Page, </t>
  </si>
  <si>
    <t>IE00BQXX3L90</t>
  </si>
  <si>
    <t>Avantage Fund B</t>
  </si>
  <si>
    <t>Mixtos Flexibles Global EUR</t>
  </si>
  <si>
    <t xml:space="preserve">Juan Gómez Bada, </t>
  </si>
  <si>
    <t>ES0112231016</t>
  </si>
  <si>
    <t xml:space="preserve">Dodge &amp; Cox Worldwide Global Stock </t>
  </si>
  <si>
    <t xml:space="preserve">Lily S. Beischer, Roger G. Kuo, Steven C. Voorhis, </t>
  </si>
  <si>
    <t>IE00B55JMJ98</t>
  </si>
  <si>
    <t>Robeco Global Momentum Equities I</t>
  </si>
  <si>
    <t xml:space="preserve">Daniel Haesen, Wouter Tilgenkamp, Jan Sytze Mosselaar, </t>
  </si>
  <si>
    <t>LU0803250884</t>
  </si>
  <si>
    <t>WCM Select Global Growth Equity F/A</t>
  </si>
  <si>
    <t xml:space="preserve">Sanjay Ayer, MIchael Hayward, </t>
  </si>
  <si>
    <t>LU2338974699</t>
  </si>
  <si>
    <t>Invesco Global Founders &amp; Owners Fund Z</t>
  </si>
  <si>
    <t xml:space="preserve">Joe Dowling, John Morris, </t>
  </si>
  <si>
    <t>LU2903431430</t>
  </si>
  <si>
    <t>Guinness Global Equity Income Y</t>
  </si>
  <si>
    <t>IE00BVYPNZ31</t>
  </si>
  <si>
    <t>Fidelity Global Equity Income Fund Y</t>
  </si>
  <si>
    <t xml:space="preserve">Aditya Shivram, Tristan Purcell, </t>
  </si>
  <si>
    <t>LU2813190274</t>
  </si>
  <si>
    <t>Gestión Boutique VI Opportunity B</t>
  </si>
  <si>
    <t xml:space="preserve">Santiago Moreno Fernández, </t>
  </si>
  <si>
    <t>ES0110407162</t>
  </si>
  <si>
    <t>WCM Global Equity Fund Class IE1</t>
  </si>
  <si>
    <t xml:space="preserve">Sanjay Ayer, Paul Russell Black, Peter J. Hunkel, </t>
  </si>
  <si>
    <t>IE00BYZ0BC16</t>
  </si>
  <si>
    <t xml:space="preserve">JPMorgan Global Select Equity Fund C </t>
  </si>
  <si>
    <t xml:space="preserve">Helge Skibeli, Christian Pecher, Craig Morgan, </t>
  </si>
  <si>
    <t>LU0611475780</t>
  </si>
  <si>
    <t xml:space="preserve">Renta 4 Multigestion Numantia Patrimonio Global </t>
  </si>
  <si>
    <t xml:space="preserve">Not Disclosed, </t>
  </si>
  <si>
    <t>ES0173311103</t>
  </si>
  <si>
    <t>Robeco Global Stars Equities F</t>
  </si>
  <si>
    <t xml:space="preserve">Michiel Plakman, Chris Berkouwer, Yanxin Liu, </t>
  </si>
  <si>
    <t>LU0940004913</t>
  </si>
  <si>
    <t xml:space="preserve">CT Global Focus Class ZE </t>
  </si>
  <si>
    <t xml:space="preserve">Dave Dudding, Alex Lee, </t>
  </si>
  <si>
    <t>LU1433070429</t>
  </si>
  <si>
    <t>Evli Global IB</t>
  </si>
  <si>
    <t xml:space="preserve">Hans-Kristian Sjöholm, </t>
  </si>
  <si>
    <t>FI4000301312</t>
  </si>
  <si>
    <t>Echiquier World Equity Growth G</t>
  </si>
  <si>
    <t xml:space="preserve">David Ross, Louis Bersin, </t>
  </si>
  <si>
    <t>FR0010868174</t>
  </si>
  <si>
    <t>Nordea Global Opportunity Fund BI</t>
  </si>
  <si>
    <t xml:space="preserve">Eileen N. Riley, Lee M. Rosenbaum, </t>
  </si>
  <si>
    <t>LU0975280396</t>
  </si>
  <si>
    <t>T. Rowe Price Global Focused Growth Equity Q</t>
  </si>
  <si>
    <t xml:space="preserve">David J. Eiswert, Nabil Hanano, </t>
  </si>
  <si>
    <t>LU1127969597</t>
  </si>
  <si>
    <t>Capital Group New Perspective Fund Z</t>
  </si>
  <si>
    <t xml:space="preserve">Noriko Honda Chen, Brady L. Enright, Robert W. Lovelace, </t>
  </si>
  <si>
    <t>LU1295555210</t>
  </si>
  <si>
    <t>Vanguard Global Small-Cap Index Fund</t>
  </si>
  <si>
    <t>IE00B42W4L06</t>
  </si>
  <si>
    <t xml:space="preserve">GQG Partners Global Equity Fund R </t>
  </si>
  <si>
    <t xml:space="preserve">Rajiv Jain, Brian Kersmanc, Sudarshan Murthy, </t>
  </si>
  <si>
    <t>IE00BH480X12</t>
  </si>
  <si>
    <t>Gestión Boutique IV Equity Small Caps</t>
  </si>
  <si>
    <t>Quim Abril</t>
  </si>
  <si>
    <t>ES0168799023</t>
  </si>
  <si>
    <t>DPAM INVEST B Equities NewGems Sustainable W</t>
  </si>
  <si>
    <t xml:space="preserve">Dries Dury, Tom Demaecker, Aurelien Duval, </t>
  </si>
  <si>
    <t>BE6246061376</t>
  </si>
  <si>
    <t>Rotschild Valor C</t>
  </si>
  <si>
    <t xml:space="preserve">Yoann Ignatiew, Henri Captier, </t>
  </si>
  <si>
    <t>FR0011253624</t>
  </si>
  <si>
    <t xml:space="preserve">BNY Mellon Long-Term Global Equity Fund W </t>
  </si>
  <si>
    <t xml:space="preserve">Jane E. Henderson, Roy Leckie, Maxim Skorniakov, </t>
  </si>
  <si>
    <t>IE00B90PV268</t>
  </si>
  <si>
    <t>Comgest Growth Global Z</t>
  </si>
  <si>
    <t xml:space="preserve">Zak Smerczak, Alexandre Narboni, Matthias Eifert, </t>
  </si>
  <si>
    <t>IE00BYYLQ421</t>
  </si>
  <si>
    <t>MFS Global Equity Fund I1</t>
  </si>
  <si>
    <t xml:space="preserve">Roger M. Morley, Ryan P. McAllister, </t>
  </si>
  <si>
    <t>LU0219424644</t>
  </si>
  <si>
    <t>UBAM - 30 Global Leaders Equity UC</t>
  </si>
  <si>
    <t xml:space="preserve">Fares Benouari, Martin Moeller, </t>
  </si>
  <si>
    <t>LU0862309761</t>
  </si>
  <si>
    <t>GuardCap Global Equity Fund I</t>
  </si>
  <si>
    <t xml:space="preserve">Michael Boyd, Giles Warren, </t>
  </si>
  <si>
    <t>IE00BZ036616</t>
  </si>
  <si>
    <t xml:space="preserve">Fundsmith Equity Fund Sicav T </t>
  </si>
  <si>
    <t xml:space="preserve">Terry Smith, </t>
  </si>
  <si>
    <t>LU0690375182</t>
  </si>
  <si>
    <t>Robeco Global Multi-Thematic D</t>
  </si>
  <si>
    <t xml:space="preserve">Marco van Lent, Steef Bergakker, </t>
  </si>
  <si>
    <t>LU0974293671</t>
  </si>
  <si>
    <t xml:space="preserve">CT Responsible Global Equity Fund A </t>
  </si>
  <si>
    <t xml:space="preserve">Jamie Jenkins, Nick Henderson, </t>
  </si>
  <si>
    <t>LU1890813915</t>
  </si>
  <si>
    <t>Baillie Gifford Worldwide Long Term Global Growth B</t>
  </si>
  <si>
    <t xml:space="preserve">Mark Urquhart, Gemma Barkhuizen, John MacDougall, </t>
  </si>
  <si>
    <t>IE00BYX4R502</t>
  </si>
  <si>
    <t>Morgan Stanley Global Opportunity Fund Z</t>
  </si>
  <si>
    <t xml:space="preserve">Kristian Heugh, </t>
  </si>
  <si>
    <t>LU2418734716</t>
  </si>
  <si>
    <t>Morgan Stanley Global Brands Fund Z</t>
  </si>
  <si>
    <t xml:space="preserve">Marcus Watson, William D. Lock, Bruno Paulson, </t>
  </si>
  <si>
    <t>LU2393079814</t>
  </si>
  <si>
    <t xml:space="preserve">Robeco Global Consumer Trends Equities F </t>
  </si>
  <si>
    <t xml:space="preserve">Jack Neele, Richard Speetjens, </t>
  </si>
  <si>
    <t>LU0871827464</t>
  </si>
  <si>
    <t>PGIM Jennison Global Equity Opportunities USD A</t>
  </si>
  <si>
    <t xml:space="preserve">Mark B. Baribeau, Thomas F. Davis, Rebecca Irwin, </t>
  </si>
  <si>
    <t>IE00BZ3G1P18</t>
  </si>
  <si>
    <t>Seilern World Growth U C</t>
  </si>
  <si>
    <t xml:space="preserve">Michael Faherty, Quentin Macfarlane, Akash Bhanot, </t>
  </si>
  <si>
    <t>IE0009PBXO55</t>
  </si>
  <si>
    <t>Brightgate Iapetus Equity I</t>
  </si>
  <si>
    <t xml:space="preserve">Javier Herreros de Tejada, </t>
  </si>
  <si>
    <t>ES0183798018</t>
  </si>
  <si>
    <t>Cinvest Tercio Capital B</t>
  </si>
  <si>
    <t>Edgar Fernandez Vidal</t>
  </si>
  <si>
    <t>ES0174115057</t>
  </si>
  <si>
    <t xml:space="preserve">Gestión Boutique VIII Inver Value Global </t>
  </si>
  <si>
    <t>Mixtos Agresivos Global EUR</t>
  </si>
  <si>
    <t>Jordan del Rio</t>
  </si>
  <si>
    <t>ES0131445142</t>
  </si>
  <si>
    <t>Attitude Small Caps</t>
  </si>
  <si>
    <t xml:space="preserve">Rodrigo Villanueva Revenga, </t>
  </si>
  <si>
    <t>ES0111175008</t>
  </si>
  <si>
    <t>Azvalor Internacional</t>
  </si>
  <si>
    <t>RV Europa Cap. Flexible Value</t>
  </si>
  <si>
    <t xml:space="preserve">Fernando Bernad Marrasé, Álvaro Guzmán de Lázaro, </t>
  </si>
  <si>
    <t>ES0112611001</t>
  </si>
  <si>
    <t>Cobas Internacional A</t>
  </si>
  <si>
    <t xml:space="preserve">Francisco García Paramés, Juan Cantus Pastor, Mingkun Chan, </t>
  </si>
  <si>
    <t>ES0119199034</t>
  </si>
  <si>
    <t>Cobas Selección A</t>
  </si>
  <si>
    <t>ES0124037039</t>
  </si>
  <si>
    <t>T. Rowe Price Global Value I</t>
  </si>
  <si>
    <t xml:space="preserve">Sebastien Mallet, Marta Yago, </t>
  </si>
  <si>
    <t>LU1382644596</t>
  </si>
  <si>
    <t>Azvalor Managers</t>
  </si>
  <si>
    <t>RV Global Cap. Flexible Value</t>
  </si>
  <si>
    <t xml:space="preserve">Javier Saénz de Cenzano, </t>
  </si>
  <si>
    <t>ES0112602000</t>
  </si>
  <si>
    <t>Horos Value Internacional</t>
  </si>
  <si>
    <t xml:space="preserve">Alejandro Martín, Miguel Rodríguez Quesada, Javier Ruiz Ruiz, </t>
  </si>
  <si>
    <t>ES0146309002</t>
  </si>
  <si>
    <t>Magallanes European Equity M</t>
  </si>
  <si>
    <t xml:space="preserve">Iván Martín Aránguez, </t>
  </si>
  <si>
    <t>ES0159259011</t>
  </si>
  <si>
    <t xml:space="preserve">Palm Harbour Global Value Fund F </t>
  </si>
  <si>
    <t xml:space="preserve">Peter L. Smith, </t>
  </si>
  <si>
    <t>LU1935059029</t>
  </si>
  <si>
    <t>Incometric Equam Global Value A</t>
  </si>
  <si>
    <t>LU0933684101</t>
  </si>
  <si>
    <t>Alger American Asset Growth Fund I</t>
  </si>
  <si>
    <t>RV USA Cap. Grande Growth</t>
  </si>
  <si>
    <t xml:space="preserve">Patrick Kelly, Daniel C. Chung, Ankur Crawford, </t>
  </si>
  <si>
    <t>LU1232087905</t>
  </si>
  <si>
    <t>Vanguard S&amp;P 500 Stock Index Fund</t>
  </si>
  <si>
    <t>RV USA Cap. Grande Blend</t>
  </si>
  <si>
    <t xml:space="preserve">Michelle Louie, Nick Birkett, Aurélie Denis, </t>
  </si>
  <si>
    <t>IE0032620787</t>
  </si>
  <si>
    <t>Brandes US Value Fund I</t>
  </si>
  <si>
    <t>RV USA Cap. Grande Value</t>
  </si>
  <si>
    <t>IE0031575503</t>
  </si>
  <si>
    <t xml:space="preserve">Natixis Loomis Sayles U.S. Growth Equity Fund </t>
  </si>
  <si>
    <t xml:space="preserve">Aziz V. Hamzaogullari, </t>
  </si>
  <si>
    <t>LU1435384513</t>
  </si>
  <si>
    <t>CT US Contrarian Core Equities Class ZE</t>
  </si>
  <si>
    <t xml:space="preserve">Guy W. Pope, </t>
  </si>
  <si>
    <t>LU0957798241</t>
  </si>
  <si>
    <t>Amundi US Pioneer Fund R2</t>
  </si>
  <si>
    <t xml:space="preserve">Jeffrey L. Kripke, Craig Sterling, James Yu, </t>
  </si>
  <si>
    <t>LU1883874031</t>
  </si>
  <si>
    <t xml:space="preserve">Harris Associates U.S. Value Equity Fund I/A </t>
  </si>
  <si>
    <t xml:space="preserve">Robert F. Bierig, Michael A. Nicolas, William C. Nygren, </t>
  </si>
  <si>
    <t>LU0147943103</t>
  </si>
  <si>
    <t>JPMorgan US Value Fund C</t>
  </si>
  <si>
    <t xml:space="preserve">Andrew Brandon, David Silberman, </t>
  </si>
  <si>
    <t>LU1098399733</t>
  </si>
  <si>
    <t>Invesco US Value Equity Fund A USD</t>
  </si>
  <si>
    <t xml:space="preserve">Kevin C. Holt, Devin E. Armstrong, Umang Khetan, </t>
  </si>
  <si>
    <t>LU0607513826</t>
  </si>
  <si>
    <t>T. Rowe Price US Blue Chip Equity Fund Q</t>
  </si>
  <si>
    <t xml:space="preserve">Paul D. Greene, </t>
  </si>
  <si>
    <t>LU1136108674</t>
  </si>
  <si>
    <t>Franklin U.S. Opportunities Fund W</t>
  </si>
  <si>
    <t>RV USA Cap. Flexible</t>
  </si>
  <si>
    <t xml:space="preserve">Grant Bowers, Sara Araghi, Anthony Hardy, </t>
  </si>
  <si>
    <t>LU0976564442</t>
  </si>
  <si>
    <t>Baillie Gifford Worldwide US Equity Growth B</t>
  </si>
  <si>
    <t xml:space="preserve">Gary Robinson, Tom Slater, Kirsty Gibson, </t>
  </si>
  <si>
    <t>IE00BF0D7Y67</t>
  </si>
  <si>
    <t>Morgan Stanley US Growth Fund I</t>
  </si>
  <si>
    <t xml:space="preserve">David S. Cohen, Dennis P. Lynch, </t>
  </si>
  <si>
    <t>LU0042381250</t>
  </si>
  <si>
    <t>Morgan Stanley Global Insight I</t>
  </si>
  <si>
    <t>LU0868754119</t>
  </si>
  <si>
    <t>Edgewood L Select US Select Growth A</t>
  </si>
  <si>
    <t xml:space="preserve">Alexander M. Farman-Farmaian, </t>
  </si>
  <si>
    <t>LU0304955437</t>
  </si>
  <si>
    <t>Alken Small Cap Europe EU1</t>
  </si>
  <si>
    <t>RV Europa Cap. Pequeña</t>
  </si>
  <si>
    <t xml:space="preserve">Nicolas Walewski, Marc Festa, </t>
  </si>
  <si>
    <t>LU0953331096</t>
  </si>
  <si>
    <t>Alken European Opportunities EU1</t>
  </si>
  <si>
    <t>RV Europa Cap. Flexible</t>
  </si>
  <si>
    <t>LU0866838575</t>
  </si>
  <si>
    <t>Ardtur European Focus I</t>
  </si>
  <si>
    <t>RV Europa Cap. Grande Blend</t>
  </si>
  <si>
    <t xml:space="preserve">Oliver Kelton, </t>
  </si>
  <si>
    <t>IE000YMX2574</t>
  </si>
  <si>
    <t>M&amp;G European Strategic Value CI</t>
  </si>
  <si>
    <t>RV Europa Cap. Grande Value</t>
  </si>
  <si>
    <t xml:space="preserve">Richard Halle, </t>
  </si>
  <si>
    <t>LU1797811236</t>
  </si>
  <si>
    <t>Miralta Narval Europa C</t>
  </si>
  <si>
    <t>ES0173367055</t>
  </si>
  <si>
    <t xml:space="preserve">JPMorgan Europe Equity Plus Fund C </t>
  </si>
  <si>
    <t xml:space="preserve">Michael Barakos, Nicholas Horne, Ben Stapley, </t>
  </si>
  <si>
    <t>LU0289214545</t>
  </si>
  <si>
    <t>DIVAS Eurozone Value I</t>
  </si>
  <si>
    <t>Hansueli Jost</t>
  </si>
  <si>
    <t>LU1975716835</t>
  </si>
  <si>
    <t xml:space="preserve">Indépendance AM Europe Small I </t>
  </si>
  <si>
    <t>RV Europa ex-RU Cap. Med/Peq</t>
  </si>
  <si>
    <t xml:space="preserve">Audrey Bacrot, William Higgons, Victor Higgons, </t>
  </si>
  <si>
    <t>LU1832175001</t>
  </si>
  <si>
    <t xml:space="preserve">MFS Blended Research European Equity W1 </t>
  </si>
  <si>
    <t xml:space="preserve">James C. Fallon, Matthew W. Krummell, Jonathan W. Sage, </t>
  </si>
  <si>
    <t>LU0944407930</t>
  </si>
  <si>
    <t>JPMorgan Euroland Dynamic Fund C</t>
  </si>
  <si>
    <t>RV Zona Euro Cap. Grande</t>
  </si>
  <si>
    <t xml:space="preserve">Jonathan Ingram, Alexander Whyte, Blake Crawford, </t>
  </si>
  <si>
    <t>LU0661986264</t>
  </si>
  <si>
    <t>Fidelity Euro 50 Index Fund Y</t>
  </si>
  <si>
    <t>LU0370789215</t>
  </si>
  <si>
    <t>BNP Paribas Sustainable Europe Multi-Factor Equity I</t>
  </si>
  <si>
    <t xml:space="preserve">Henri Fournier, </t>
  </si>
  <si>
    <t>LU1956135914</t>
  </si>
  <si>
    <t>Eleva European Selection R</t>
  </si>
  <si>
    <t xml:space="preserve">Eric Bendahan, </t>
  </si>
  <si>
    <t>LU1111643711</t>
  </si>
  <si>
    <t xml:space="preserve">MFS European Value Fund I1 </t>
  </si>
  <si>
    <t xml:space="preserve">Gabrielle G. Gourgey, Benjamin Tingling, Florence Taj, </t>
  </si>
  <si>
    <t>LU0219424487</t>
  </si>
  <si>
    <t>BGF Continental European Flexible Fund D2</t>
  </si>
  <si>
    <t>RV Europa ex-RU</t>
  </si>
  <si>
    <t xml:space="preserve">Giles Rothbarth, Alexandra Dangoor, </t>
  </si>
  <si>
    <t>LU0406496546</t>
  </si>
  <si>
    <t>Sextant PME N</t>
  </si>
  <si>
    <t>RV Zona Euro Cap. Pequeña</t>
  </si>
  <si>
    <t xml:space="preserve">Raphaël Moreau, </t>
  </si>
  <si>
    <t>FR0013306370</t>
  </si>
  <si>
    <t>CT Global Technology IE</t>
  </si>
  <si>
    <t>RV Sector Tecnología</t>
  </si>
  <si>
    <t xml:space="preserve">Paul H. Wick, Vimal Patel, </t>
  </si>
  <si>
    <t>LU2092974778</t>
  </si>
  <si>
    <t>Polar Capital Global Technology Fund I</t>
  </si>
  <si>
    <t xml:space="preserve">Ben Rogoff, Nick Evans, Fatima Lu, </t>
  </si>
  <si>
    <t>IE00BM95B514</t>
  </si>
  <si>
    <t>DNB Fund Technology C1</t>
  </si>
  <si>
    <t xml:space="preserve">Sverre Bergland, Erling Thune, </t>
  </si>
  <si>
    <t>LU1047850778</t>
  </si>
  <si>
    <t>Fidelity Global Technology Fund Y</t>
  </si>
  <si>
    <t xml:space="preserve">HyunHo Sohn, </t>
  </si>
  <si>
    <t>LU0346389348</t>
  </si>
  <si>
    <t>BNP Paribas Funds Disruptive Technology I</t>
  </si>
  <si>
    <t xml:space="preserve">Pamela Hegarty, Derek Glynn, </t>
  </si>
  <si>
    <t>LU0823422067</t>
  </si>
  <si>
    <t>AB SICAV I International Technology I</t>
  </si>
  <si>
    <t xml:space="preserve">Lei Qiu, </t>
  </si>
  <si>
    <t>LU0252218424</t>
  </si>
  <si>
    <t>BGF World Technology Fund D2</t>
  </si>
  <si>
    <t xml:space="preserve">Tony Kim, Reid Menge, </t>
  </si>
  <si>
    <t>LU0376438312</t>
  </si>
  <si>
    <t>JPMorgan US Technology C</t>
  </si>
  <si>
    <t xml:space="preserve">Joseph Wilson, </t>
  </si>
  <si>
    <t>LU1303370156</t>
  </si>
  <si>
    <t>BNP Paribas Funds Aqua I</t>
  </si>
  <si>
    <t>RV Sector Agua</t>
  </si>
  <si>
    <t xml:space="preserve">Justin Winter, Harry Boyle, </t>
  </si>
  <si>
    <t>LU1165135952</t>
  </si>
  <si>
    <t>Polar Capital Funds Biotechnology Fund I Inc</t>
  </si>
  <si>
    <t>RV Sector Biotecnología</t>
  </si>
  <si>
    <t xml:space="preserve">David Pinniger, Gareth Powell, </t>
  </si>
  <si>
    <t>IE00B3WVRB16</t>
  </si>
  <si>
    <t>Polar Capital Healthcare Opports I</t>
  </si>
  <si>
    <t>RV Sector Salud</t>
  </si>
  <si>
    <t xml:space="preserve">Gareth Powell, James Douglas, </t>
  </si>
  <si>
    <t>IE00BF12WY77</t>
  </si>
  <si>
    <t>Schroder Frontier Markets C</t>
  </si>
  <si>
    <t>RV Global Mercados Frontera</t>
  </si>
  <si>
    <t xml:space="preserve">Rami Sidani, Tom Wilson, </t>
  </si>
  <si>
    <t>LU0968301142</t>
  </si>
  <si>
    <t>Robeco Asia-Pacific Equities I</t>
  </si>
  <si>
    <t>RV Asia Pacífico</t>
  </si>
  <si>
    <t xml:space="preserve">Joshua Crabb, Harfun Ven, </t>
  </si>
  <si>
    <t>LU1493701376</t>
  </si>
  <si>
    <t>BSF Systematic Asia Pacific Equity Absolute Return USD</t>
  </si>
  <si>
    <t>Alternativo Market Neutral - RV USD</t>
  </si>
  <si>
    <t xml:space="preserve">Jeff Shen, Ryan Kim, Rui Zhao, </t>
  </si>
  <si>
    <t>LU1508158190</t>
  </si>
  <si>
    <t xml:space="preserve">Robeco Emerging Markets Active Equities I </t>
  </si>
  <si>
    <t>RV Global Emergente</t>
  </si>
  <si>
    <t xml:space="preserve">Tim Dröge, Han van der Boon, Wilma de Groot, </t>
  </si>
  <si>
    <t>LU0329356306</t>
  </si>
  <si>
    <t>RV Asia (ex-Japón)</t>
  </si>
  <si>
    <t xml:space="preserve">Artemis Funds SmartGARP Global Emerging Markets Eq I </t>
  </si>
  <si>
    <t xml:space="preserve">Raheel Altaf, </t>
  </si>
  <si>
    <t>LU1846577168</t>
  </si>
  <si>
    <t>Invesco Emerging Markets Equity Fund Z</t>
  </si>
  <si>
    <t xml:space="preserve">Ian Hargreaves, William Lam, Charles Bond, </t>
  </si>
  <si>
    <t>LU2658256644</t>
  </si>
  <si>
    <t>Federated Hermes Asia exJpn Eq F</t>
  </si>
  <si>
    <t xml:space="preserve">Jonathan Pines, </t>
  </si>
  <si>
    <t>IE00B83XD802</t>
  </si>
  <si>
    <t>RAM Systematic Emerging Markets Equities IP EUR</t>
  </si>
  <si>
    <t xml:space="preserve">Emmanuel Hauptmann, Valentin Betrix, Nicolas Jamet, </t>
  </si>
  <si>
    <t>LU0835721324</t>
  </si>
  <si>
    <t>Evli Emerging Frontier B</t>
  </si>
  <si>
    <t>RV Global Emergente Mid-Small Cap</t>
  </si>
  <si>
    <t xml:space="preserve">Evli Fund Management company Ltd, </t>
  </si>
  <si>
    <t>FI4000066915</t>
  </si>
  <si>
    <t>Allianz Oriental Income RT</t>
  </si>
  <si>
    <t xml:space="preserve">Stuart Winchester, Ian Lee, </t>
  </si>
  <si>
    <t>LU1254141416</t>
  </si>
  <si>
    <t>Magna New Frontiers Fund G</t>
  </si>
  <si>
    <t xml:space="preserve">Stefan Bottcher, </t>
  </si>
  <si>
    <t>IE00BFTW8Z27</t>
  </si>
  <si>
    <t>Vanguard Emerging Markets Index Fund</t>
  </si>
  <si>
    <t>IE0031786142</t>
  </si>
  <si>
    <t>Magna MENA Fund G</t>
  </si>
  <si>
    <t>RV África y Oriente Medio</t>
  </si>
  <si>
    <t xml:space="preserve">Stefan Böttcher, </t>
  </si>
  <si>
    <t>IE00BFTW8Y10</t>
  </si>
  <si>
    <t>Schroder Emerg Asia C</t>
  </si>
  <si>
    <t xml:space="preserve">Louisa Lo, Alice Liu, </t>
  </si>
  <si>
    <t>LU0248173857</t>
  </si>
  <si>
    <t>Fidelity Asia Pacific Opportunities Fund Y</t>
  </si>
  <si>
    <t>RV Asia Pacífico (ex-Japón)</t>
  </si>
  <si>
    <t xml:space="preserve">Anthony Srom, </t>
  </si>
  <si>
    <t>LU0345362361</t>
  </si>
  <si>
    <t>Brightgate Focus I</t>
  </si>
  <si>
    <t xml:space="preserve">Javier López Bernardo, </t>
  </si>
  <si>
    <t>ES0114904016</t>
  </si>
  <si>
    <t>Algebris Financial Income Fund I</t>
  </si>
  <si>
    <t>Mixtos Moderados Global EUR</t>
  </si>
  <si>
    <t xml:space="preserve">Mark Conrad, </t>
  </si>
  <si>
    <t>IE00BBHX5M50</t>
  </si>
  <si>
    <t>Global Allocation</t>
  </si>
  <si>
    <t xml:space="preserve">Mixtos Flexibles Global EUR </t>
  </si>
  <si>
    <t xml:space="preserve">Luis Bononato, </t>
  </si>
  <si>
    <t>ES0116848005</t>
  </si>
  <si>
    <t>Dunas Valor Flexible</t>
  </si>
  <si>
    <t>Alternativo Multiestrategia EUR</t>
  </si>
  <si>
    <t xml:space="preserve">Alfonso Benito, Carlos Gutiérrez, José María Lecube, </t>
  </si>
  <si>
    <t>ES0175316001</t>
  </si>
  <si>
    <t>Gamma Global Z</t>
  </si>
  <si>
    <t>Mixtos Defensivos Global EUR</t>
  </si>
  <si>
    <t>ES0140794019</t>
  </si>
  <si>
    <t>Dunas Valor Equilibrado I</t>
  </si>
  <si>
    <t xml:space="preserve">Alfonso Benito, Alberto Díez, Carlos Gutiérrez, </t>
  </si>
  <si>
    <t>ES0175414004</t>
  </si>
  <si>
    <t>B&amp;H Flexible Class 1</t>
  </si>
  <si>
    <t xml:space="preserve">Rafael Valera de Vargas, </t>
  </si>
  <si>
    <t>LU2278574715</t>
  </si>
  <si>
    <t>Storm Bond RC</t>
  </si>
  <si>
    <t>RF Sin Rating</t>
  </si>
  <si>
    <t xml:space="preserve">Morten E. Astrup, Morten Venold, Gustaf Amlé, </t>
  </si>
  <si>
    <t>LU0840158819</t>
  </si>
  <si>
    <t>DNCA Invest Alpha Bonds N</t>
  </si>
  <si>
    <t>RF Flexible EUR</t>
  </si>
  <si>
    <t xml:space="preserve">François Collet, Pascal Gilbert, Fabien Georges, </t>
  </si>
  <si>
    <t>LU1694789709</t>
  </si>
  <si>
    <t>BrightGate Global Income Fund A I</t>
  </si>
  <si>
    <t>RF Flexible Global - EUR Cubierto</t>
  </si>
  <si>
    <t xml:space="preserve">Jacobo Arteaga, Javier López Bernardo, </t>
  </si>
  <si>
    <t>LU0942882589</t>
  </si>
  <si>
    <t>Man High Yield Opportunities D</t>
  </si>
  <si>
    <t>RF Bonos Alto Rendimiento Global EUR Cubierto</t>
  </si>
  <si>
    <t xml:space="preserve">Michael Scott, </t>
  </si>
  <si>
    <t>IE00BDTYYP61</t>
  </si>
  <si>
    <t>Candriam Bonds Euro High Yield I</t>
  </si>
  <si>
    <t>RF Bonos Alto Rendimiento Europa</t>
  </si>
  <si>
    <t xml:space="preserve">Nicolas Jullien, Thomas Joret, Sichong Qi, </t>
  </si>
  <si>
    <t>LU0144746509</t>
  </si>
  <si>
    <t>DWS Invest Euro High Yield Corporates TFC</t>
  </si>
  <si>
    <t>RF Bonos Alto Rendimiento EUR</t>
  </si>
  <si>
    <t xml:space="preserve">Per Wehrmann, Nicole Wichmann, </t>
  </si>
  <si>
    <t>LU1663875406</t>
  </si>
  <si>
    <t xml:space="preserve">Man Global Investment Grade Opps IH EUR </t>
  </si>
  <si>
    <t>RF Deuda Corporativa EUR Cubierto</t>
  </si>
  <si>
    <t xml:space="preserve">Jonathan Golan, </t>
  </si>
  <si>
    <t>IE000VA5W9H0</t>
  </si>
  <si>
    <t>Liontrust GF European Strategic Equity Fund A3 Inst</t>
  </si>
  <si>
    <t>Long/Short</t>
  </si>
  <si>
    <t xml:space="preserve">Samantha Gleave, </t>
  </si>
  <si>
    <t>IE00BYXV8M50</t>
  </si>
  <si>
    <t>Ardtur European Focus Absolute Return I</t>
  </si>
  <si>
    <t>IE00BZ1J0335</t>
  </si>
  <si>
    <t>JPMorgan Europe Equity Absolute Alpha  C</t>
  </si>
  <si>
    <t>Market Neutral</t>
  </si>
  <si>
    <t xml:space="preserve">Nicholas Horne, Ben Stapley, Matt Jones, </t>
  </si>
  <si>
    <t>LU1001748398</t>
  </si>
  <si>
    <t>Helium Performance B</t>
  </si>
  <si>
    <t xml:space="preserve">Henri Jeantet, Xavier Morin, </t>
  </si>
  <si>
    <t>LU1734046466</t>
  </si>
  <si>
    <t>Man Alpha Select Alternative IH EUR</t>
  </si>
  <si>
    <t xml:space="preserve">Charles Long, Nick Judge, </t>
  </si>
  <si>
    <t>IE00B3LJVG97</t>
  </si>
  <si>
    <t>Sissener Canopus EUR IH</t>
  </si>
  <si>
    <t xml:space="preserve">Jan Petter Courvoisier Sissener, </t>
  </si>
  <si>
    <t>LU2454854501</t>
  </si>
  <si>
    <t>Fondos Estrella</t>
  </si>
  <si>
    <t>Riesgo de la cartera</t>
  </si>
  <si>
    <t>Escribe o copia de la pestaña(Fondos Estrella) el nombre del fondo (exacto), el ISIN del fondo o seleccionalo en el desplegable.Introduce el peso del fondo en tu cartera y el riesgo se obtendrá automáticamente de la hoja 'Fondos Estrella'.</t>
  </si>
  <si>
    <t>Fondo/ISIN</t>
  </si>
  <si>
    <t>Peso</t>
  </si>
  <si>
    <t>Riesgo x Peso</t>
  </si>
  <si>
    <t>Resumen</t>
  </si>
  <si>
    <t/>
  </si>
  <si>
    <t>Riesgo total ponderado</t>
  </si>
  <si>
    <t>Suma de pesos</t>
  </si>
  <si>
    <t>Notas</t>
  </si>
  <si>
    <t>Los pesos no tienen que sumar 100%: el riesgo total se calcula</t>
  </si>
  <si>
    <t>solo sobre los fondos con dato de riesgo.</t>
  </si>
  <si>
    <t>Escala de riesgo: 0-15 verde oscuro, 15-30 verde claro,</t>
  </si>
  <si>
    <t>30-60 amarillo, 60-85 naranja, 85 o más rojo.</t>
  </si>
  <si>
    <t>¿Qué puedo esperar de mi cartera a largo plazo?</t>
  </si>
  <si>
    <t>Rentabilidad esperada a más de 5 años</t>
  </si>
  <si>
    <t>Máxima caída esperada</t>
  </si>
  <si>
    <t>Los rangos de rentabilidad esperada a más de 5 años van del 3% al 13%.</t>
  </si>
  <si>
    <t>Los rangos de la caída máxima esperada van del 0% al 50%.</t>
  </si>
  <si>
    <t>Estos datos son orientativos y sirven para hacerse una idea de</t>
  </si>
  <si>
    <t>lo que se puede esperar de la cartera a largo plazo.</t>
  </si>
  <si>
    <t>El riesgo no va asociado directamente a una rentabilidad</t>
  </si>
  <si>
    <t>ni a una caída máxima, así que podemos considerarlo</t>
  </si>
  <si>
    <t>una simplificación para facilitar el diseño de carteras.</t>
  </si>
  <si>
    <t>Generar X-Ray</t>
  </si>
  <si>
    <t>Si no te funciona el botón generar X-Ray, pulsa botón derecho sobre la casilla con</t>
  </si>
  <si>
    <t>letras azules y pulsa "Copiar". Luego abre tu navegador y dale a "Pegar".</t>
  </si>
  <si>
    <t>RATIOS MEDIOS PONDERADOS</t>
  </si>
  <si>
    <t>Rentabilidad 1 año</t>
  </si>
  <si>
    <t>Rentabilidad 3 años</t>
  </si>
  <si>
    <t>Rentabilidad 5 años</t>
  </si>
  <si>
    <t>Rentabilidad 10 años</t>
  </si>
  <si>
    <t>Alfa</t>
  </si>
  <si>
    <t>Drawdown categoría</t>
  </si>
  <si>
    <t>Renta variable</t>
  </si>
  <si>
    <t>Renta fija</t>
  </si>
  <si>
    <t>Otros desarrollados</t>
  </si>
  <si>
    <t>Tecnología</t>
  </si>
  <si>
    <t>Finanzas</t>
  </si>
  <si>
    <t>Comunicaciones</t>
  </si>
  <si>
    <t>Materiales básicos</t>
  </si>
  <si>
    <t>Consumo defensivo</t>
  </si>
  <si>
    <t>Energía</t>
  </si>
  <si>
    <t>Consumo cíclico</t>
  </si>
  <si>
    <t>Industria</t>
  </si>
  <si>
    <t>Inmobiliario</t>
  </si>
  <si>
    <t>Servicios públicos</t>
  </si>
  <si>
    <t>F00001DIZR</t>
  </si>
  <si>
    <t>F00000Q6SA</t>
  </si>
  <si>
    <t>F00000VY9Z</t>
  </si>
  <si>
    <t>F00000PC3F</t>
  </si>
  <si>
    <t>F00000QHCO</t>
  </si>
  <si>
    <t>F00000XP4Q</t>
  </si>
  <si>
    <t>F00000W5DY</t>
  </si>
  <si>
    <t>F00000SCLE</t>
  </si>
  <si>
    <t>F00000UE2I</t>
  </si>
  <si>
    <t>F00000Y4H0</t>
  </si>
  <si>
    <t>F00001DGBH</t>
  </si>
  <si>
    <t>F00001103K</t>
  </si>
  <si>
    <t>F00000WOMZ</t>
  </si>
  <si>
    <t>F00001F587</t>
  </si>
  <si>
    <t>F00001B0AP</t>
  </si>
  <si>
    <t>F00000WI0D</t>
  </si>
  <si>
    <t>F000011HLY</t>
  </si>
  <si>
    <t>F000014TGN</t>
  </si>
  <si>
    <t>F00000YP4V</t>
  </si>
  <si>
    <t>F00000ZE5R</t>
  </si>
  <si>
    <t>F000002K15</t>
  </si>
  <si>
    <t>0P0000VHOL</t>
  </si>
  <si>
    <t>F000014JM4</t>
  </si>
  <si>
    <t>F00000W1HJ</t>
  </si>
  <si>
    <t>F00000PXI3</t>
  </si>
  <si>
    <t>F000014763</t>
  </si>
  <si>
    <t>F00000PBV2</t>
  </si>
  <si>
    <t>F00000PBVF</t>
  </si>
  <si>
    <t>0P00000YDG</t>
  </si>
  <si>
    <t>F0GBR054Q9</t>
  </si>
  <si>
    <t>F00000U5HG</t>
  </si>
  <si>
    <t>F00000QTPH</t>
  </si>
  <si>
    <t>F00001DES1</t>
  </si>
  <si>
    <t>F00000YM8Y</t>
  </si>
  <si>
    <t>F0GBR06GO0</t>
  </si>
  <si>
    <t>0P00016RQH</t>
  </si>
  <si>
    <t>F00001DOCS</t>
  </si>
  <si>
    <t>F000016A7T</t>
  </si>
  <si>
    <t>F000016A7W</t>
  </si>
  <si>
    <t>F00000Y4YL</t>
  </si>
  <si>
    <t>F00000XGCI</t>
  </si>
  <si>
    <t>F000014MCK</t>
  </si>
  <si>
    <t>F000011DBC</t>
  </si>
  <si>
    <t>F00000UMVB</t>
  </si>
  <si>
    <t>F000013KW8</t>
  </si>
  <si>
    <t>F00000SJXB</t>
  </si>
  <si>
    <t>F00000ZY7J</t>
  </si>
  <si>
    <t>F00000JNOU</t>
  </si>
  <si>
    <t>F00000QDUD</t>
  </si>
  <si>
    <t>F00000M9JF</t>
  </si>
  <si>
    <t>F00000OEIT</t>
  </si>
  <si>
    <t>F00000Y4AC</t>
  </si>
  <si>
    <t>F000011JZ7</t>
  </si>
  <si>
    <t>F00000ZW50</t>
  </si>
  <si>
    <t>F00000H6EB</t>
  </si>
  <si>
    <t>F000000KWH</t>
  </si>
  <si>
    <t>F00000VC0O</t>
  </si>
  <si>
    <t>F00000QIUX</t>
  </si>
  <si>
    <t>F00000ZZIO</t>
  </si>
  <si>
    <t>F00000OZCY</t>
  </si>
  <si>
    <t>F000000RLQ</t>
  </si>
  <si>
    <t>F00000210Z</t>
  </si>
  <si>
    <t>F00000QGIQ</t>
  </si>
  <si>
    <t>F00000ZVEA</t>
  </si>
  <si>
    <t>F00001KXC5</t>
  </si>
  <si>
    <t>F000001ATI</t>
  </si>
  <si>
    <t>F00000QJXY</t>
  </si>
  <si>
    <t>F00000OHVY</t>
  </si>
  <si>
    <t>F00001EZL8</t>
  </si>
  <si>
    <t>F000016FBA</t>
  </si>
  <si>
    <t>F00001GRN7</t>
  </si>
  <si>
    <t>F00001PTJD</t>
  </si>
  <si>
    <t>F00000LICF</t>
  </si>
  <si>
    <t>F000000LSH</t>
  </si>
  <si>
    <t>F000011K3T</t>
  </si>
  <si>
    <t>F000002Y0S</t>
  </si>
  <si>
    <t>F000014ZEW</t>
  </si>
  <si>
    <t>F00000WK5E</t>
  </si>
  <si>
    <t>F00000VFI5</t>
  </si>
  <si>
    <t>F00000UNFA</t>
  </si>
  <si>
    <t>F00001T5CZ</t>
  </si>
  <si>
    <t>F0GBR06A3E</t>
  </si>
  <si>
    <t>F0000103UP</t>
  </si>
  <si>
    <t>F00000XB0P</t>
  </si>
  <si>
    <t>F000010KY6</t>
  </si>
  <si>
    <t>F00000V8XG</t>
  </si>
  <si>
    <t>F000010PEF</t>
  </si>
  <si>
    <t>F00001GLB7</t>
  </si>
  <si>
    <t>F00001O6MY</t>
  </si>
  <si>
    <t>F00000MWI4</t>
  </si>
  <si>
    <t>F000013W4H</t>
  </si>
  <si>
    <t>F00000S7JR</t>
  </si>
  <si>
    <t>F00000U453</t>
  </si>
  <si>
    <t>F00000MJFL</t>
  </si>
  <si>
    <t>F00000MB1Z</t>
  </si>
  <si>
    <t>F00000WH5Z</t>
  </si>
  <si>
    <t>F00000U450</t>
  </si>
  <si>
    <t>F00000X7KU</t>
  </si>
  <si>
    <t>F000010L0W</t>
  </si>
  <si>
    <t>F000010L0A</t>
  </si>
  <si>
    <t>F00000V7MT</t>
  </si>
  <si>
    <t>F00000TNDR</t>
  </si>
  <si>
    <t>F00000W4ZW</t>
  </si>
  <si>
    <t>F00000H5AU</t>
  </si>
  <si>
    <t>F00001D10A</t>
  </si>
  <si>
    <t>F000011X2V</t>
  </si>
  <si>
    <t>F00000QBO5</t>
  </si>
  <si>
    <t>F0000140NW</t>
  </si>
  <si>
    <t>F0GBR05ZUX</t>
  </si>
  <si>
    <t>F0GBR05ZV7</t>
  </si>
  <si>
    <t>F000015Z15</t>
  </si>
  <si>
    <t>F00001CQDS</t>
  </si>
  <si>
    <t>0P0000Y00H</t>
  </si>
  <si>
    <t>F00001D4I1</t>
  </si>
  <si>
    <t>F0GBR04SY5</t>
  </si>
  <si>
    <t>F00000ZEAB</t>
  </si>
  <si>
    <t>F00000S6FR</t>
  </si>
  <si>
    <t>F000013GVI</t>
  </si>
  <si>
    <t>F00000ZYER</t>
  </si>
  <si>
    <t>0P0000ZVJP</t>
  </si>
  <si>
    <t>F000015JBX</t>
  </si>
  <si>
    <t>F000011XOZ</t>
  </si>
  <si>
    <t>F00000YUR9</t>
  </si>
  <si>
    <t>F00000OXC0</t>
  </si>
  <si>
    <t>F00000VYOL</t>
  </si>
  <si>
    <t>F00000XRBZ</t>
  </si>
  <si>
    <t>F0GBR06CSO</t>
  </si>
  <si>
    <t>F000000RBA</t>
  </si>
  <si>
    <t>F00000PGG0</t>
  </si>
  <si>
    <t>F00000ORT6</t>
  </si>
  <si>
    <t>F00000QSD9</t>
  </si>
  <si>
    <t>F00000QDBH</t>
  </si>
  <si>
    <t>F00000S91M</t>
  </si>
  <si>
    <t>F00000X3BN</t>
  </si>
  <si>
    <t>F0GBR06IIW</t>
  </si>
  <si>
    <t>F00000QFXF</t>
  </si>
  <si>
    <t>F00001DE5S</t>
  </si>
  <si>
    <t>F0000103O1</t>
  </si>
  <si>
    <t>F0GBR06PCO</t>
  </si>
  <si>
    <t>F00001EZLA</t>
  </si>
  <si>
    <t>F00001EK2S</t>
  </si>
  <si>
    <t>F00000OS8X</t>
  </si>
  <si>
    <t>F00000UOS4</t>
  </si>
  <si>
    <t>F00000X24L</t>
  </si>
  <si>
    <t>F00000V8WZ</t>
  </si>
  <si>
    <t>F000014XF8</t>
  </si>
  <si>
    <t>F0GBR06TSA</t>
  </si>
  <si>
    <t>F00000PA9N</t>
  </si>
  <si>
    <t>F0GBR04G0F</t>
  </si>
  <si>
    <t>F00000ZXFM</t>
  </si>
  <si>
    <t>F00001DFQT</t>
  </si>
  <si>
    <t>Cartera ATC Investing</t>
  </si>
  <si>
    <t>Se incluyen automáticamente los fondos de 'Fondos Estrella' cuyo Peso ATC es mayor que 0. El riesgo se calcula a partir de esos pesos.</t>
  </si>
  <si>
    <t>Solo se incluyen fondos con Peso ATC Investing &gt; 0.</t>
  </si>
  <si>
    <t>El riesgo ponderado utiliza los fondos con dato de riesgo.</t>
  </si>
  <si>
    <t>Escala: 0-15 verde oscuro, 15-30 verde claro,</t>
  </si>
  <si>
    <t>30-60 amarillo, 60-85 naranja y 85 o más rojo.</t>
  </si>
  <si>
    <t>Los rangos de rentabilidad espera a más de 5 años van del 3% al 13%.</t>
  </si>
  <si>
    <t>LEYENDA</t>
  </si>
  <si>
    <t>Tipo de fondo</t>
  </si>
  <si>
    <t>Descripción</t>
  </si>
  <si>
    <t>Fondo Índice</t>
  </si>
  <si>
    <t>Fondo indexado (réplica de un índice).</t>
  </si>
  <si>
    <t>Clase Sucia</t>
  </si>
  <si>
    <t>Clase del fondo marcada como "sucia" (comisiones o estructura menos favorable). Está en el listado por la imposibilidad de acceder a la clase limpia en España por algún motivo.</t>
  </si>
  <si>
    <t>Dato Subrayado</t>
  </si>
  <si>
    <t>Este dato se ha obtenido de otra clase del mismo fondo que cuenta con un historial más amplio. Si la clase analizada es limpia, los datos subrayados serán ligeramente inferiores a los reales; si es una clase sucia, serán ligeramente superiores.</t>
  </si>
  <si>
    <t>Global</t>
  </si>
  <si>
    <t>Fondo de carácter global o internacional.</t>
  </si>
  <si>
    <t>Value</t>
  </si>
  <si>
    <t>Fondos con estrategia de value.</t>
  </si>
  <si>
    <t>USA</t>
  </si>
  <si>
    <t>Fondos centrados en Estados Unidos.</t>
  </si>
  <si>
    <t>Fondos centrados en Europa.</t>
  </si>
  <si>
    <t>Fondos del sector tecnológico.</t>
  </si>
  <si>
    <t>Green</t>
  </si>
  <si>
    <t>Fondos de temática medioambiental.</t>
  </si>
  <si>
    <t>Fondos del sector salud.</t>
  </si>
  <si>
    <t>Fondos de mercados emergentes.</t>
  </si>
  <si>
    <t>China</t>
  </si>
  <si>
    <t>Fondos centrados en China.</t>
  </si>
  <si>
    <t>Mixtos</t>
  </si>
  <si>
    <t>Fondos mixtos que reparten sus inversiones en renta variable y renta fija. Los agresivos sobreponderan RV y los defensivos sobreponderan RF</t>
  </si>
  <si>
    <t>RF</t>
  </si>
  <si>
    <t>Fondos de renta fija.</t>
  </si>
  <si>
    <t>Alternativos</t>
  </si>
  <si>
    <t>Alternativos tipos de fondos.</t>
  </si>
  <si>
    <t>Ratio</t>
  </si>
  <si>
    <t>Puntuación de riesgo del fondo. Colores: verde oscuro (0-15), verde claro (15-30), amarillo (30-60), naranja (60-85), rojo (más de 85). El 0 se deja sin color (sin dato).</t>
  </si>
  <si>
    <t>Price/Earnings Ratio (precio / beneficio). Valores bajos pueden indicar que el fondo cotiza barato respecto a sus beneficios. Colores: verde (bajo) → rojo (alto).</t>
  </si>
  <si>
    <t>Ratio de Sharpe: rentabilidad obtenida por unidad de riesgo (volatilidad). Cuanto más alto, mejor. Colores: rojo (negativo) → verde oscuro (&gt; 2). Se utiliza el dato de los últimos 5 años.</t>
  </si>
  <si>
    <t>Medida de la variación de la rentabilidad. Valores altos implican más riesgo. Colores: verde (baja) → rojo (alta, &gt; 20). Se utiliza el dato de los últimos 5 años.</t>
  </si>
  <si>
    <t>Comisiones anuales del fondo (%). Preferibles valores bajos. Colores: verde (&lt; 1%) → rojo (&gt; 2%).</t>
  </si>
  <si>
    <t>Tamaño del fondo (millones). Fondos muy pequeños (&lt; 40) o enormes (&gt; 10.000) se marcan en rojo; el resto en verde claro.</t>
  </si>
  <si>
    <t>Gestor del fondo. Se muestra en negrita y azul oscuro. Los fondos con gestor aparecen en la hoja "Fondos Estrella".</t>
  </si>
  <si>
    <t>RV / RF</t>
  </si>
  <si>
    <t>Porcentaje de Renta Variable y Renta Fija del fondo. En las hojas de fondos (Fondos y Fondos Estrella): verde claro si &gt;40%, verde oscuro si &gt;70%. En los ratios de carteras: RV en rojo si &lt;30% o &gt;80% (con aviso).</t>
  </si>
  <si>
    <t>Rating de estrellas (normalmente Morningstar). 5 = mejor, 1 = peor. Colores: verde oscuro (5) → rojo (1).</t>
  </si>
  <si>
    <t>Rentabilidad extra respecto al índice de referencia. Valores positivos indican que el gestor aporta valor. Colores: verde (&gt; 5) → rojo (&lt; -3). El 0 se deja sin color (sin dato). Se utiliza el dato de los últimos 5 años.</t>
  </si>
  <si>
    <t>Sensibilidad del fondo al movimiento del mercado. Beta ≈ 1 se mueve como el mercado; &gt; 1 es más volátil; &lt; 1 es más defensivo. Se utiliza el dato de los últimos 5 años.</t>
  </si>
  <si>
    <t>Alza / Bajada</t>
  </si>
  <si>
    <t>Comportamiento en mercados alcistas (Alza) y bajistas (Bajada). Valores &gt; 100 indican que captura más movimiento que el índice. Colores de fuente: verde/rojo según mejore o empeore. Se utiliza el dato de los últimos 5 años.</t>
  </si>
  <si>
    <t>Máxima caída desde máximos. Se compara con el Drawdown de la categoría. Mejor (más bajo) se pinta en verde; peor en rojo. Se utiliza el dato de los últimos 5 años.</t>
  </si>
  <si>
    <t>Rentabilidades</t>
  </si>
  <si>
    <t>1 Año, 3 Años, 5 Años y 10 Años. Se colorean según el valor: verde muy oscuro (≥ 15%), verde, amarillo, naranja y rojo (≤ -5%). El 0 se deja en blanco.</t>
  </si>
  <si>
    <t>Regiones</t>
  </si>
  <si>
    <t>EEUU, Europa (Europa y UK), Otros Desarrollados(Australia, Japón, Singapur, Corea del Sur, Taiwan y Hong Kong) y Emergentes: porcentaje de exposición del fondo a cada región (sin color de fondo en las hojas de fondos). En los ratios ponderados de las carteras: EEUU (&lt;30% o &gt;70%) y Europa (&lt;15% o &gt;45%) se marcan en rojo (verde claro si están en rango); Otros desarrollados siempre en verde claro; Emergentes (&lt;10% o &gt;25%) en rojo. Muestran aviso a su derecha cuando se salen de rango. En la media ponderada, un 0% en una región cuenta como dato (no se excluye).</t>
  </si>
  <si>
    <t>Sectores</t>
  </si>
  <si>
    <t>Peso en cada sector (Tech, Salud, Finance…). En hojas de fondos: verde oscuro si &gt;60%, verde claro entre 20% y 60%. En ratios de carteras: verde claro si &lt;20%, rojo si ≥20% (con aviso de posible sobreexposición). En la media ponderada, un 0% en un sector cuenta como dato (no se excluye).</t>
  </si>
  <si>
    <t>Peso del fondo en la cartera ATC Investing. La suma de la columna es 100%. Verde claro si &lt; 10%, verde oscuro si ≥ 10%, blanco si es 0%.</t>
  </si>
  <si>
    <t>Fecha de la última actualización de datos. Verde claro si tiene menos de 1 mes; naranja si tiene 1 mes o más.</t>
  </si>
  <si>
    <t>Última Compras</t>
  </si>
  <si>
    <t>Aumento en mi principal posición con un 16%. Mixto Real que funciona especialmente bien en caídas y que aún así obtiene una media del 10% anualizado.</t>
  </si>
  <si>
    <t>Aumento mi exposición en uno de los mejores fondos globales de mid-small cap. La confianza en Gabriel Castro hace que invierta sistematicamente pesando ya un 3,4% en mi cartera</t>
  </si>
  <si>
    <t>Aumento exposición en unos gestores con un trackrecord espectacular. Tenía menos del 1% y quería aumentar mi peso en este fondo value global.</t>
  </si>
  <si>
    <t>Aumento exposición a tecnología a través de uno de los fondos más prudentes de la categoría (PER y Volatilidad bajos en comparación).</t>
  </si>
  <si>
    <t>Aumento exposión a Asia a través de un fondo que tiene un 56% de exposición en dicha región y puede acceder a gradnes oportunidades apoyado en su bajo patrimonio bajo gestión.</t>
  </si>
  <si>
    <t>Añado este fondo por su apuesta por el mundo crypto. Al no tener apenas exposición en mi cartera a cryptomonedas me parece la mejor forma de hacerlo ya que Javier Caballero es un experto en el mundo crypto.</t>
  </si>
  <si>
    <t>Fondos añadidos a la lista de seguimiento</t>
  </si>
  <si>
    <t>Fondo que obtiene su rentabilidad a través de arbitrajes y comportamiento es bastante estable en cualquier situación de mercado. Se puede esperar alrededor del 4% anualizado sin sobresaltos.</t>
  </si>
  <si>
    <t>Es un fondo de RV Global que diversifica su cartera en 5 factores (Value, Momentum, Growth, Quality y Revisión de Beneificios). Buena diversificación de estilos en un solo fondo.</t>
  </si>
  <si>
    <t>Artemis Funds SmartGARP Global Emerging Markets Eq I</t>
  </si>
  <si>
    <t>Uno de los mejores fondos para invertir en emergentes con un 12% anualizado a 10 años. Puntualizar que ha apostado fuerte por tecnología y Corea del Sur lo cual ha sido su mayor generador de Alfa.</t>
  </si>
  <si>
    <t>Uno de los mejores fondos tecnológicos de los últimos 10 años con una rentabilidad anualizada del 23%. Lei Qiu continua como gestor principal desde 2017.</t>
  </si>
  <si>
    <t>Fondo Long/Short europeo con solo un 4% de exposión al mercado en RV y un 30% en RF. Podríamos esperar alrdedor de un 7%-9% anualizado con un control muy importante en las bajadas</t>
  </si>
  <si>
    <t>Fondos eliminados de la lista de seguimiento</t>
  </si>
  <si>
    <t>Fiera Capital Apex Global Equity</t>
  </si>
  <si>
    <t>Nadim Ritz deja el fondo y lo empieza a gestionar Sunil M. Reddy cuyo track record no es tan bueno.</t>
  </si>
  <si>
    <t>En este apartado podéis acceder a buenas promociones si os registrais en estas compañias con los códigos que os enlazo.</t>
  </si>
  <si>
    <t>Todas ellas son las empresas con las que tengo contratados mis suministros o donde realizo mis inversiones.</t>
  </si>
  <si>
    <t>Empresa</t>
  </si>
  <si>
    <t>Tipo</t>
  </si>
  <si>
    <t>Enlace para Registro</t>
  </si>
  <si>
    <t>Recompensa</t>
  </si>
  <si>
    <t>Información sobre el programa de Referidos</t>
  </si>
  <si>
    <t>Urbanitae</t>
  </si>
  <si>
    <t>Inversión Inmboliaria</t>
  </si>
  <si>
    <t>https://urbanitae.com/es/invitado/?access=U121632</t>
  </si>
  <si>
    <t xml:space="preserve">Hasta 150€ </t>
  </si>
  <si>
    <t>https://urbanitae.com/es/preguntasFrecuentes/?initialGroup=invite-investor</t>
  </si>
  <si>
    <t>BBVA</t>
  </si>
  <si>
    <t>Bano Online</t>
  </si>
  <si>
    <t>Introducir código 14CA0040FA184E</t>
  </si>
  <si>
    <t>Hasta 450€</t>
  </si>
  <si>
    <t>https://www.bbva.es/general/promociones-y-ofertas/plan-amigo.html</t>
  </si>
  <si>
    <t>Chippio</t>
  </si>
  <si>
    <t>Comercializadora Luz</t>
  </si>
  <si>
    <t>https://api.chippio.com/2/r/NFMB9R24</t>
  </si>
  <si>
    <t>30</t>
  </si>
  <si>
    <t>https://knowledge.chippio.es/en-qu%C3%A9-consiste-la-promoci%C3%B3n-invita-y-ahorra</t>
  </si>
  <si>
    <t>Trade Republic</t>
  </si>
  <si>
    <t>https://refnocode.trade.re/k5ldxhn1</t>
  </si>
  <si>
    <t>1 acción</t>
  </si>
  <si>
    <t>https://rankiator.com/plan-amigo-trade-republic-como-funciona/</t>
  </si>
  <si>
    <t>Digi</t>
  </si>
  <si>
    <t>Teléfono y Fibra Óptica</t>
  </si>
  <si>
    <t>Dadme vuestro mail y os añado como amigo</t>
  </si>
  <si>
    <t>https://www.digimobil.es/friends?_gl=1*1aaxjl8*_up*MQ..*_gs*MQ..&amp;gclid=CjwKCAjwifjVBhBKEiwAYx4K9KXLLdyG4DofArPVptch-XGO7yWcWCFyP0LYQpF7BJsZqyWxrhq3iBoCKYwQAvD_BwE&amp;gbraid=0AAAAADoXpTJXh8LixuYRB6iPxWkW1VXcQ</t>
  </si>
  <si>
    <t>IronIA</t>
  </si>
  <si>
    <t>Plataforma Fondos de Inversión</t>
  </si>
  <si>
    <t>Introducir NYRZ27QZ como codigo al registrarse</t>
  </si>
  <si>
    <t>5000 Elements</t>
  </si>
  <si>
    <t>https://ironia.tech/</t>
  </si>
  <si>
    <t>Próximamente...</t>
  </si>
  <si>
    <t>Emérito Quintana</t>
  </si>
  <si>
    <t xml:space="preserve">Ignacio Fuertes Aguirre, </t>
  </si>
  <si>
    <t>Alejandro Muñoz, Guillermo Cruz</t>
  </si>
  <si>
    <t>Peso ATC Investing</t>
  </si>
  <si>
    <t>El botón Generar X-Ray funciona con macros. Es necesario habilitar la macros en Excel</t>
  </si>
  <si>
    <t>para que funcione correctamente.</t>
  </si>
  <si>
    <t>Solo aparece la casilla  con letras azules si tienes al menos un fondo con "Peso".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</si>
</sst>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106" x14ac:knownFonts="1">
    <font>
      <sz val="10"/>
      <color indexed="8"/>
      <name val="Calibri"/>
      <family val="2"/>
      <scheme val="minor"/>
    </font>
    <font>
      <b/>
      <sz val="10"/>
      <color indexed="9"/>
      <name val="Arial"/>
    </font>
    <font>
      <sz val="10"/>
      <color indexed="8"/>
      <name val="Arial"/>
    </font>
    <font>
      <b/>
      <sz val="10"/>
      <color rgb="FF1F497D"/>
      <name val="Arial"/>
    </font>
    <font>
      <b/>
      <sz val="10"/>
      <color indexed="17"/>
      <name val="Arial"/>
    </font>
    <font>
      <b/>
      <sz val="10"/>
      <color indexed="10"/>
      <name val="Arial"/>
    </font>
    <font>
      <u/>
      <sz val="10"/>
      <color rgb="FF000000"/>
      <name val="Arial"/>
    </font>
    <font>
      <b/>
      <sz val="10"/>
      <color indexed="8"/>
      <name val="Arial"/>
    </font>
    <font>
      <u/>
      <sz val="10"/>
      <color rgb="FF000000"/>
      <name val="Arial"/>
    </font>
    <font>
      <u/>
      <sz val="10"/>
      <color rgb="FF000000"/>
      <name val="Arial"/>
    </font>
    <font>
      <b/>
      <u/>
      <sz val="10"/>
      <color rgb="FFFF0000"/>
      <name val="Arial"/>
    </font>
    <font>
      <b/>
      <u/>
      <sz val="10"/>
      <color rgb="FF008000"/>
      <name val="Arial"/>
    </font>
    <font>
      <b/>
      <u/>
      <sz val="10"/>
      <color rgb="FF008000"/>
      <name val="Arial"/>
    </font>
    <font>
      <b/>
      <u/>
      <sz val="10"/>
      <color rgb="FFFF0000"/>
      <name val="Arial"/>
    </font>
    <font>
      <b/>
      <sz val="14"/>
      <color rgb="FF1F497D"/>
      <name val="Arial"/>
    </font>
    <font>
      <i/>
      <sz val="10"/>
      <color indexed="23"/>
      <name val="Arial"/>
    </font>
    <font>
      <b/>
      <sz val="14"/>
      <color indexed="8"/>
      <name val="Arial"/>
    </font>
    <font>
      <b/>
      <sz val="12"/>
      <color indexed="8"/>
      <name val="Arial"/>
    </font>
    <font>
      <b/>
      <sz val="12"/>
      <color indexed="10"/>
      <name val="Arial"/>
    </font>
    <font>
      <sz val="10"/>
      <color indexed="23"/>
      <name val="Arial"/>
    </font>
    <font>
      <sz val="10"/>
      <color indexed="12"/>
      <name val="Arial"/>
    </font>
    <font>
      <i/>
      <sz val="10"/>
      <color indexed="23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u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4"/>
      <color rgb="FF1F497D"/>
      <name val="Calibri"/>
    </font>
    <font>
      <b/>
      <sz val="11"/>
      <color indexed="9"/>
      <name val="Calibri"/>
    </font>
    <font>
      <b/>
      <sz val="12"/>
      <color indexed="9"/>
      <name val="Calibri"/>
    </font>
    <font>
      <sz val="11"/>
      <color indexed="8"/>
      <name val="Calibri"/>
    </font>
    <font>
      <b/>
      <sz val="14"/>
      <color rgb="FF2D6A3E"/>
      <name val="Calibri"/>
    </font>
    <font>
      <b/>
      <sz val="14"/>
      <color rgb="FF993232"/>
      <name val="Calibri"/>
    </font>
    <font>
      <b/>
      <sz val="11"/>
      <color rgb="FF1F497D"/>
      <name val="Calibri"/>
    </font>
    <font>
      <b/>
      <sz val="11"/>
      <color indexed="8"/>
      <name val="Calibri"/>
    </font>
    <font>
      <sz val="11"/>
      <color indexed="12"/>
      <name val="Calibri"/>
    </font>
    <font>
      <b/>
      <sz val="28"/>
      <color rgb="FF1F497D"/>
      <name val="Calibri"/>
      <family val="2"/>
    </font>
    <font>
      <sz val="10"/>
      <color theme="1" tint="0.499984740745262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theme="1" tint="0.49998474074526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D2F0D2"/>
      </patternFill>
    </fill>
    <fill>
      <patternFill patternType="solid">
        <fgColor indexed="43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FF200"/>
      </patternFill>
    </fill>
    <fill>
      <patternFill patternType="solid">
        <fgColor rgb="FF2D6A3E"/>
      </patternFill>
    </fill>
    <fill>
      <patternFill patternType="solid">
        <fgColor rgb="FF993232"/>
      </patternFill>
    </fill>
    <fill>
      <patternFill patternType="solid">
        <fgColor rgb="FFFFDCD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2" fontId="8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2" fontId="16" fillId="5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left" vertical="center"/>
    </xf>
    <xf numFmtId="164" fontId="2" fillId="6" borderId="0" xfId="0" applyNumberFormat="1" applyFont="1" applyFill="1" applyAlignment="1">
      <alignment horizontal="center" vertical="center"/>
    </xf>
    <xf numFmtId="164" fontId="17" fillId="5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left" vertical="center"/>
    </xf>
    <xf numFmtId="164" fontId="18" fillId="6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164" fontId="7" fillId="5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64" fontId="7" fillId="6" borderId="0" xfId="0" applyNumberFormat="1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165" fontId="7" fillId="6" borderId="0" xfId="0" applyNumberFormat="1" applyFont="1" applyFill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left" vertical="center" wrapText="1"/>
    </xf>
    <xf numFmtId="0" fontId="26" fillId="7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left" vertical="center" wrapText="1"/>
    </xf>
    <xf numFmtId="0" fontId="28" fillId="5" borderId="0" xfId="0" applyFont="1" applyFill="1" applyAlignment="1">
      <alignment horizontal="left" vertical="center"/>
    </xf>
    <xf numFmtId="0" fontId="29" fillId="5" borderId="0" xfId="0" applyFont="1" applyFill="1" applyAlignment="1">
      <alignment horizontal="left" vertical="center" wrapText="1"/>
    </xf>
    <xf numFmtId="0" fontId="30" fillId="6" borderId="0" xfId="0" applyFont="1" applyFill="1" applyAlignment="1">
      <alignment horizontal="left" vertical="center"/>
    </xf>
    <xf numFmtId="0" fontId="31" fillId="6" borderId="0" xfId="0" applyFont="1" applyFill="1" applyAlignment="1">
      <alignment horizontal="left" vertical="center" wrapText="1"/>
    </xf>
    <xf numFmtId="0" fontId="32" fillId="5" borderId="0" xfId="0" applyFont="1" applyFill="1" applyAlignment="1">
      <alignment horizontal="left" vertical="center"/>
    </xf>
    <xf numFmtId="0" fontId="33" fillId="5" borderId="0" xfId="0" applyFont="1" applyFill="1" applyAlignment="1">
      <alignment horizontal="left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 wrapText="1"/>
    </xf>
    <xf numFmtId="0" fontId="36" fillId="5" borderId="0" xfId="0" applyFont="1" applyFill="1" applyAlignment="1">
      <alignment horizontal="left" vertical="center"/>
    </xf>
    <xf numFmtId="0" fontId="37" fillId="5" borderId="0" xfId="0" applyFont="1" applyFill="1" applyAlignment="1">
      <alignment horizontal="left" vertical="center" wrapText="1"/>
    </xf>
    <xf numFmtId="0" fontId="38" fillId="6" borderId="0" xfId="0" applyFont="1" applyFill="1" applyAlignment="1">
      <alignment horizontal="left" vertical="center"/>
    </xf>
    <xf numFmtId="0" fontId="39" fillId="6" borderId="0" xfId="0" applyFont="1" applyFill="1" applyAlignment="1">
      <alignment horizontal="left" vertical="center" wrapText="1"/>
    </xf>
    <xf numFmtId="0" fontId="40" fillId="5" borderId="0" xfId="0" applyFont="1" applyFill="1" applyAlignment="1">
      <alignment horizontal="left" vertical="center"/>
    </xf>
    <xf numFmtId="0" fontId="41" fillId="5" borderId="0" xfId="0" applyFont="1" applyFill="1" applyAlignment="1">
      <alignment horizontal="left" vertical="center" wrapText="1"/>
    </xf>
    <xf numFmtId="0" fontId="42" fillId="6" borderId="0" xfId="0" applyFont="1" applyFill="1" applyAlignment="1">
      <alignment horizontal="left" vertical="center"/>
    </xf>
    <xf numFmtId="0" fontId="43" fillId="6" borderId="0" xfId="0" applyFont="1" applyFill="1" applyAlignment="1">
      <alignment horizontal="left" vertical="center" wrapText="1"/>
    </xf>
    <xf numFmtId="0" fontId="44" fillId="5" borderId="0" xfId="0" applyFont="1" applyFill="1" applyAlignment="1">
      <alignment horizontal="left" vertical="center"/>
    </xf>
    <xf numFmtId="0" fontId="45" fillId="5" borderId="0" xfId="0" applyFont="1" applyFill="1" applyAlignment="1">
      <alignment horizontal="left" vertical="center" wrapText="1"/>
    </xf>
    <xf numFmtId="0" fontId="46" fillId="6" borderId="0" xfId="0" applyFont="1" applyFill="1" applyAlignment="1">
      <alignment horizontal="left" vertical="center"/>
    </xf>
    <xf numFmtId="0" fontId="47" fillId="6" borderId="0" xfId="0" applyFont="1" applyFill="1" applyAlignment="1">
      <alignment horizontal="left" vertical="center" wrapText="1"/>
    </xf>
    <xf numFmtId="0" fontId="48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 wrapText="1"/>
    </xf>
    <xf numFmtId="0" fontId="50" fillId="6" borderId="0" xfId="0" applyFont="1" applyFill="1" applyAlignment="1">
      <alignment horizontal="left" vertical="center"/>
    </xf>
    <xf numFmtId="0" fontId="51" fillId="6" borderId="0" xfId="0" applyFont="1" applyFill="1" applyAlignment="1">
      <alignment horizontal="left" vertical="center" wrapText="1"/>
    </xf>
    <xf numFmtId="0" fontId="52" fillId="5" borderId="0" xfId="0" applyFont="1" applyFill="1" applyAlignment="1">
      <alignment horizontal="left" vertical="center"/>
    </xf>
    <xf numFmtId="0" fontId="53" fillId="5" borderId="0" xfId="0" applyFont="1" applyFill="1" applyAlignment="1">
      <alignment horizontal="left" vertical="center" wrapText="1"/>
    </xf>
    <xf numFmtId="0" fontId="54" fillId="2" borderId="0" xfId="0" applyFont="1" applyFill="1" applyAlignment="1">
      <alignment horizontal="left" vertical="center"/>
    </xf>
    <xf numFmtId="0" fontId="55" fillId="2" borderId="0" xfId="0" applyFont="1" applyFill="1" applyAlignment="1">
      <alignment horizontal="left" vertical="center"/>
    </xf>
    <xf numFmtId="0" fontId="56" fillId="5" borderId="0" xfId="0" applyFont="1" applyFill="1" applyAlignment="1">
      <alignment horizontal="left" vertical="center"/>
    </xf>
    <xf numFmtId="0" fontId="57" fillId="5" borderId="0" xfId="0" applyFont="1" applyFill="1" applyAlignment="1">
      <alignment horizontal="left" vertical="center" wrapText="1"/>
    </xf>
    <xf numFmtId="0" fontId="58" fillId="6" borderId="0" xfId="0" applyFont="1" applyFill="1" applyAlignment="1">
      <alignment horizontal="left" vertical="center"/>
    </xf>
    <xf numFmtId="0" fontId="59" fillId="6" borderId="0" xfId="0" applyFont="1" applyFill="1" applyAlignment="1">
      <alignment horizontal="left" vertical="center" wrapText="1"/>
    </xf>
    <xf numFmtId="0" fontId="60" fillId="5" borderId="0" xfId="0" applyFont="1" applyFill="1" applyAlignment="1">
      <alignment horizontal="left" vertical="center"/>
    </xf>
    <xf numFmtId="0" fontId="61" fillId="5" borderId="0" xfId="0" applyFont="1" applyFill="1" applyAlignment="1">
      <alignment horizontal="left" vertical="center" wrapText="1"/>
    </xf>
    <xf numFmtId="0" fontId="62" fillId="6" borderId="0" xfId="0" applyFont="1" applyFill="1" applyAlignment="1">
      <alignment horizontal="left" vertical="center"/>
    </xf>
    <xf numFmtId="0" fontId="63" fillId="6" borderId="0" xfId="0" applyFont="1" applyFill="1" applyAlignment="1">
      <alignment horizontal="left" vertical="center" wrapText="1"/>
    </xf>
    <xf numFmtId="0" fontId="64" fillId="5" borderId="0" xfId="0" applyFont="1" applyFill="1" applyAlignment="1">
      <alignment horizontal="left" vertical="center"/>
    </xf>
    <xf numFmtId="0" fontId="65" fillId="5" borderId="0" xfId="0" applyFont="1" applyFill="1" applyAlignment="1">
      <alignment horizontal="left" vertical="center" wrapText="1"/>
    </xf>
    <xf numFmtId="0" fontId="66" fillId="6" borderId="0" xfId="0" applyFont="1" applyFill="1" applyAlignment="1">
      <alignment horizontal="left" vertical="center"/>
    </xf>
    <xf numFmtId="0" fontId="67" fillId="6" borderId="0" xfId="0" applyFont="1" applyFill="1" applyAlignment="1">
      <alignment horizontal="left" vertical="center" wrapText="1"/>
    </xf>
    <xf numFmtId="0" fontId="68" fillId="5" borderId="0" xfId="0" applyFont="1" applyFill="1" applyAlignment="1">
      <alignment horizontal="left" vertical="center"/>
    </xf>
    <xf numFmtId="0" fontId="69" fillId="5" borderId="0" xfId="0" applyFont="1" applyFill="1" applyAlignment="1">
      <alignment horizontal="left" vertical="center" wrapText="1"/>
    </xf>
    <xf numFmtId="0" fontId="70" fillId="6" borderId="0" xfId="0" applyFont="1" applyFill="1" applyAlignment="1">
      <alignment horizontal="left" vertical="center"/>
    </xf>
    <xf numFmtId="0" fontId="71" fillId="6" borderId="0" xfId="0" applyFont="1" applyFill="1" applyAlignment="1">
      <alignment horizontal="left" vertical="center" wrapText="1"/>
    </xf>
    <xf numFmtId="0" fontId="72" fillId="5" borderId="0" xfId="0" applyFont="1" applyFill="1" applyAlignment="1">
      <alignment horizontal="left" vertical="center"/>
    </xf>
    <xf numFmtId="0" fontId="73" fillId="5" borderId="0" xfId="0" applyFont="1" applyFill="1" applyAlignment="1">
      <alignment horizontal="left" vertical="center" wrapText="1"/>
    </xf>
    <xf numFmtId="0" fontId="74" fillId="6" borderId="0" xfId="0" applyFont="1" applyFill="1" applyAlignment="1">
      <alignment horizontal="left" vertical="center"/>
    </xf>
    <xf numFmtId="0" fontId="75" fillId="6" borderId="0" xfId="0" applyFont="1" applyFill="1" applyAlignment="1">
      <alignment horizontal="left" vertical="center" wrapText="1"/>
    </xf>
    <xf numFmtId="0" fontId="76" fillId="5" borderId="0" xfId="0" applyFont="1" applyFill="1" applyAlignment="1">
      <alignment horizontal="left" vertical="center"/>
    </xf>
    <xf numFmtId="0" fontId="77" fillId="5" borderId="0" xfId="0" applyFont="1" applyFill="1" applyAlignment="1">
      <alignment horizontal="left" vertical="center" wrapText="1"/>
    </xf>
    <xf numFmtId="0" fontId="78" fillId="6" borderId="0" xfId="0" applyFont="1" applyFill="1" applyAlignment="1">
      <alignment horizontal="left" vertical="center"/>
    </xf>
    <xf numFmtId="0" fontId="79" fillId="6" borderId="0" xfId="0" applyFont="1" applyFill="1" applyAlignment="1">
      <alignment horizontal="left" vertical="center" wrapText="1"/>
    </xf>
    <xf numFmtId="0" fontId="80" fillId="5" borderId="0" xfId="0" applyFont="1" applyFill="1" applyAlignment="1">
      <alignment horizontal="left" vertical="center"/>
    </xf>
    <xf numFmtId="0" fontId="81" fillId="5" borderId="0" xfId="0" applyFont="1" applyFill="1" applyAlignment="1">
      <alignment horizontal="left" vertical="center" wrapText="1"/>
    </xf>
    <xf numFmtId="0" fontId="82" fillId="6" borderId="0" xfId="0" applyFont="1" applyFill="1" applyAlignment="1">
      <alignment horizontal="left" vertical="center"/>
    </xf>
    <xf numFmtId="0" fontId="83" fillId="6" borderId="0" xfId="0" applyFont="1" applyFill="1" applyAlignment="1">
      <alignment horizontal="left" vertical="center" wrapText="1"/>
    </xf>
    <xf numFmtId="0" fontId="84" fillId="5" borderId="0" xfId="0" applyFont="1" applyFill="1" applyAlignment="1">
      <alignment horizontal="left" vertical="center"/>
    </xf>
    <xf numFmtId="0" fontId="85" fillId="5" borderId="0" xfId="0" applyFont="1" applyFill="1" applyAlignment="1">
      <alignment horizontal="left" vertical="center" wrapText="1"/>
    </xf>
    <xf numFmtId="0" fontId="86" fillId="6" borderId="0" xfId="0" applyFont="1" applyFill="1" applyAlignment="1">
      <alignment horizontal="left" vertical="center"/>
    </xf>
    <xf numFmtId="0" fontId="87" fillId="6" borderId="0" xfId="0" applyFont="1" applyFill="1" applyAlignment="1">
      <alignment horizontal="left" vertical="center" wrapText="1"/>
    </xf>
    <xf numFmtId="0" fontId="88" fillId="5" borderId="0" xfId="0" applyFont="1" applyFill="1" applyAlignment="1">
      <alignment horizontal="left" vertical="center"/>
    </xf>
    <xf numFmtId="0" fontId="89" fillId="5" borderId="0" xfId="0" applyFont="1" applyFill="1" applyAlignment="1">
      <alignment horizontal="left" vertical="center" wrapText="1"/>
    </xf>
    <xf numFmtId="0" fontId="90" fillId="6" borderId="0" xfId="0" applyFont="1" applyFill="1" applyAlignment="1">
      <alignment horizontal="left" vertical="center"/>
    </xf>
    <xf numFmtId="0" fontId="91" fillId="6" borderId="0" xfId="0" applyFont="1" applyFill="1" applyAlignment="1">
      <alignment horizontal="left" vertical="center" wrapText="1"/>
    </xf>
    <xf numFmtId="0" fontId="92" fillId="0" borderId="0" xfId="0" applyFont="1" applyAlignment="1">
      <alignment horizontal="left" vertical="center"/>
    </xf>
    <xf numFmtId="14" fontId="93" fillId="2" borderId="0" xfId="0" applyNumberFormat="1" applyFont="1" applyFill="1" applyAlignment="1">
      <alignment horizontal="center" vertical="center"/>
    </xf>
    <xf numFmtId="0" fontId="94" fillId="2" borderId="0" xfId="0" applyFont="1" applyFill="1" applyAlignment="1">
      <alignment horizontal="left" vertical="center"/>
    </xf>
    <xf numFmtId="0" fontId="96" fillId="0" borderId="0" xfId="0" applyFont="1" applyAlignment="1">
      <alignment horizontal="left" vertical="center"/>
    </xf>
    <xf numFmtId="14" fontId="93" fillId="8" borderId="0" xfId="0" applyNumberFormat="1" applyFont="1" applyFill="1" applyAlignment="1">
      <alignment horizontal="center" vertical="center"/>
    </xf>
    <xf numFmtId="0" fontId="94" fillId="8" borderId="0" xfId="0" applyFont="1" applyFill="1" applyAlignment="1">
      <alignment horizontal="left" vertical="center"/>
    </xf>
    <xf numFmtId="0" fontId="97" fillId="0" borderId="0" xfId="0" applyFont="1" applyAlignment="1">
      <alignment horizontal="left" vertical="center"/>
    </xf>
    <xf numFmtId="14" fontId="93" fillId="9" borderId="0" xfId="0" applyNumberFormat="1" applyFont="1" applyFill="1" applyAlignment="1">
      <alignment horizontal="center" vertical="center"/>
    </xf>
    <xf numFmtId="0" fontId="94" fillId="9" borderId="0" xfId="0" applyFont="1" applyFill="1" applyAlignment="1">
      <alignment horizontal="left" vertical="center"/>
    </xf>
    <xf numFmtId="0" fontId="93" fillId="2" borderId="0" xfId="0" applyFont="1" applyFill="1" applyAlignment="1">
      <alignment horizontal="center" vertical="center"/>
    </xf>
    <xf numFmtId="0" fontId="99" fillId="5" borderId="0" xfId="0" applyFont="1" applyFill="1" applyAlignment="1">
      <alignment horizontal="center" vertical="center"/>
    </xf>
    <xf numFmtId="0" fontId="95" fillId="5" borderId="0" xfId="0" applyFont="1" applyFill="1" applyAlignment="1">
      <alignment horizontal="center" vertical="center"/>
    </xf>
    <xf numFmtId="0" fontId="100" fillId="5" borderId="0" xfId="0" applyFont="1" applyFill="1" applyAlignment="1">
      <alignment horizontal="left" vertical="center"/>
    </xf>
    <xf numFmtId="0" fontId="98" fillId="5" borderId="0" xfId="0" applyFont="1" applyFill="1" applyAlignment="1">
      <alignment horizontal="right" vertical="center"/>
    </xf>
    <xf numFmtId="0" fontId="99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left" vertical="center"/>
    </xf>
    <xf numFmtId="0" fontId="98" fillId="6" borderId="0" xfId="0" applyFont="1" applyFill="1" applyAlignment="1">
      <alignment horizontal="right" vertical="center"/>
    </xf>
    <xf numFmtId="0" fontId="100" fillId="6" borderId="0" xfId="0" applyFont="1" applyFill="1" applyAlignment="1">
      <alignment horizontal="left" vertical="center"/>
    </xf>
    <xf numFmtId="0" fontId="95" fillId="5" borderId="0" xfId="0" applyFont="1" applyFill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102" fillId="0" borderId="0" xfId="0" applyFont="1"/>
    <xf numFmtId="0" fontId="103" fillId="2" borderId="0" xfId="0" applyFont="1" applyFill="1" applyAlignment="1">
      <alignment horizontal="center" vertical="center"/>
    </xf>
    <xf numFmtId="164" fontId="104" fillId="0" borderId="0" xfId="0" applyNumberFormat="1" applyFont="1" applyAlignment="1">
      <alignment horizontal="center" vertical="center"/>
    </xf>
    <xf numFmtId="0" fontId="105" fillId="0" borderId="0" xfId="0" applyFont="1"/>
    <xf numFmtId="0" fontId="19" fillId="0" borderId="0" xfId="0" applyFont="1" applyAlignment="1">
      <alignment horizontal="left" vertical="center"/>
    </xf>
    <xf numFmtId="0" fontId="0" fillId="0" borderId="0" xfId="0"/>
    <xf numFmtId="0" fontId="95" fillId="3" borderId="0" xfId="0" applyFont="1" applyFill="1" applyAlignment="1">
      <alignment horizontal="left" vertical="center" wrapText="1"/>
    </xf>
    <xf numFmtId="0" fontId="95" fillId="10" borderId="0" xfId="0" applyFont="1" applyFill="1" applyAlignment="1">
      <alignment horizontal="left" vertical="center" wrapText="1"/>
    </xf>
    <xf numFmtId="0" fontId="95" fillId="6" borderId="0" xfId="0" applyFont="1" applyFill="1" applyAlignment="1">
      <alignment horizontal="left" vertical="center" wrapText="1"/>
    </xf>
    <xf numFmtId="0" fontId="95" fillId="5" borderId="0" xfId="0" applyFont="1" applyFill="1" applyAlignment="1">
      <alignment horizontal="left" vertical="center" wrapText="1"/>
    </xf>
    <xf numFmtId="0" fontId="98" fillId="0" borderId="0" xfId="0" applyFont="1" applyAlignment="1">
      <alignment horizontal="left" vertical="center" wrapText="1"/>
    </xf>
  </cellXfs>
  <cellStyles count="1">
    <cellStyle name="Normal" xfId="0" builtinId="0"/>
  </cellStyles>
  <dxfs count="312"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CDCDC"/>
        </patternFill>
      </fill>
    </dxf>
    <dxf>
      <fill>
        <patternFill patternType="solid">
          <bgColor rgb="FFFFDAAF"/>
        </patternFill>
      </fill>
    </dxf>
    <dxf>
      <fill>
        <patternFill patternType="solid">
          <bgColor rgb="FFE4D4F2"/>
        </patternFill>
      </fill>
    </dxf>
    <dxf>
      <fill>
        <patternFill patternType="solid">
          <bgColor rgb="FFD7BEA0"/>
        </patternFill>
      </fill>
    </dxf>
    <dxf>
      <fill>
        <patternFill patternType="solid">
          <bgColor rgb="FFF09696"/>
        </patternFill>
      </fill>
    </dxf>
    <dxf>
      <fill>
        <patternFill patternType="solid">
          <bgColor rgb="FFAAC8F0"/>
        </patternFill>
      </fill>
    </dxf>
    <dxf>
      <fill>
        <patternFill patternType="solid">
          <bgColor rgb="FFA0E1DC"/>
        </patternFill>
      </fill>
    </dxf>
    <dxf>
      <fill>
        <patternFill patternType="solid">
          <bgColor rgb="FFAADCAA"/>
        </patternFill>
      </fill>
    </dxf>
    <dxf>
      <fill>
        <patternFill patternType="solid">
          <bgColor rgb="FFFFF096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3" name="TablaFondos13" displayName="TablaFondos13" ref="A1:AO152">
  <autoFilter ref="A1:AO152"/>
  <sortState ref="A2:AO152">
    <sortCondition descending="1" ref="E1:E152"/>
  </sortState>
  <tableColumns count="41">
    <tableColumn id="1" name="Fondos Estrella"/>
    <tableColumn id="2" name="Categoría"/>
    <tableColumn id="3" name="  1 Año"/>
    <tableColumn id="4" name="3 Años"/>
    <tableColumn id="5" name="5 Años"/>
    <tableColumn id="6" name=" 10 Años"/>
    <tableColumn id="7" name="Riesgo"/>
    <tableColumn id="8" name="PER"/>
    <tableColumn id="9" name="Sharpe"/>
    <tableColumn id="10" name="Volatilidad"/>
    <tableColumn id="11" name="Costes"/>
    <tableColumn id="12" name="Patrimonio"/>
    <tableColumn id="13" name="Gestor"/>
    <tableColumn id="14" name=" Inicio"/>
    <tableColumn id="15" name="ISIN"/>
    <tableColumn id="16" name="   RV"/>
    <tableColumn id="17" name="  RF"/>
    <tableColumn id="18" name="Estrellas"/>
    <tableColumn id="19" name="  Alfa"/>
    <tableColumn id="20" name="Beta"/>
    <tableColumn id="21" name="Alza"/>
    <tableColumn id="22" name="Bajada"/>
    <tableColumn id="23" name="Drawdown"/>
    <tableColumn id="24" name="Drawdown Cat"/>
    <tableColumn id="25" name="EEUU"/>
    <tableColumn id="26" name="Europa"/>
    <tableColumn id="27" name="Otros Desarro"/>
    <tableColumn id="28" name="Emergentes"/>
    <tableColumn id="29" name="Tech"/>
    <tableColumn id="30" name="Salud"/>
    <tableColumn id="31" name="Finance"/>
    <tableColumn id="32" name="Com"/>
    <tableColumn id="33" name="BsicMat"/>
    <tableColumn id="34" name="DefConsum"/>
    <tableColumn id="35" name="Energy"/>
    <tableColumn id="36" name="CiclicConsum"/>
    <tableColumn id="37" name="Industry"/>
    <tableColumn id="38" name="Inmobi"/>
    <tableColumn id="39" name="SerPub"/>
    <tableColumn id="40" name="Peso ATC Investing"/>
    <tableColumn id="41" name="Actualiz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TablaRiesgoCartera" displayName="TablaRiesgoCartera" ref="A4:D44">
  <tableColumns count="4">
    <tableColumn id="1" name="Fondo/ISIN"/>
    <tableColumn id="2" name="Riesgo"/>
    <tableColumn id="3" name="Peso"/>
    <tableColumn id="4" name="Riesgo x Pes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TablaCarteraATC" displayName="TablaCarteraATC" ref="A4:D44">
  <tableColumns count="4">
    <tableColumn id="1" name="Fondo/ISIN"/>
    <tableColumn id="2" name="Riesgo"/>
    <tableColumn id="3" name="Peso ATC"/>
    <tableColumn id="4" name="Riesgo x P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O152"/>
  <sheetViews>
    <sheetView tabSelected="1" workbookViewId="0">
      <pane xSplit="1" ySplit="1" topLeftCell="B2" activePane="bottomRight" state="frozen"/>
      <selection pane="topRight"/>
      <selection pane="bottomLeft"/>
      <selection pane="bottomRight" activeCell="G8" sqref="G8"/>
    </sheetView>
  </sheetViews>
  <sheetFormatPr baseColWidth="10" defaultColWidth="8.88671875" defaultRowHeight="13.8" x14ac:dyDescent="0.3"/>
  <cols>
    <col min="1" max="1" width="50.33203125" bestFit="1" customWidth="1"/>
    <col min="2" max="2" width="30.44140625" bestFit="1" customWidth="1"/>
    <col min="3" max="3" width="9.44140625" bestFit="1" customWidth="1"/>
    <col min="4" max="5" width="9.5546875" bestFit="1" customWidth="1"/>
    <col min="6" max="6" width="10.5546875" bestFit="1" customWidth="1"/>
    <col min="7" max="7" width="9" bestFit="1" customWidth="1"/>
    <col min="8" max="8" width="7.21875" bestFit="1" customWidth="1"/>
    <col min="9" max="9" width="9.33203125" bestFit="1" customWidth="1"/>
    <col min="10" max="10" width="12" bestFit="1" customWidth="1"/>
    <col min="11" max="11" width="8.88671875" bestFit="1" customWidth="1"/>
    <col min="12" max="12" width="12.44140625" bestFit="1" customWidth="1"/>
    <col min="13" max="13" width="25.77734375" bestFit="1" customWidth="1"/>
    <col min="14" max="14" width="8.5546875" bestFit="1" customWidth="1"/>
    <col min="15" max="15" width="14.109375" bestFit="1" customWidth="1"/>
    <col min="16" max="16" width="9.109375" bestFit="1" customWidth="1"/>
    <col min="17" max="17" width="8.44140625" bestFit="1" customWidth="1"/>
    <col min="18" max="18" width="10.77734375" bestFit="1" customWidth="1"/>
    <col min="19" max="19" width="8.44140625" bestFit="1" customWidth="1"/>
    <col min="20" max="20" width="7.44140625" bestFit="1" customWidth="1"/>
    <col min="21" max="21" width="7.109375" bestFit="1" customWidth="1"/>
    <col min="22" max="22" width="9.21875" bestFit="1" customWidth="1"/>
    <col min="23" max="23" width="12.44140625" bestFit="1" customWidth="1"/>
    <col min="24" max="24" width="15.88671875" bestFit="1" customWidth="1"/>
    <col min="25" max="25" width="8.21875" bestFit="1" customWidth="1"/>
    <col min="26" max="26" width="10.44140625" bestFit="1" customWidth="1"/>
    <col min="27" max="27" width="12.88671875" bestFit="1" customWidth="1"/>
    <col min="28" max="28" width="11.44140625" bestFit="1" customWidth="1"/>
    <col min="29" max="29" width="9.44140625" bestFit="1" customWidth="1"/>
    <col min="30" max="30" width="10.44140625" bestFit="1" customWidth="1"/>
    <col min="31" max="31" width="10.109375" bestFit="1" customWidth="1"/>
    <col min="32" max="32" width="9.44140625" bestFit="1" customWidth="1"/>
    <col min="33" max="33" width="10.21875" bestFit="1" customWidth="1"/>
    <col min="34" max="34" width="13.44140625" bestFit="1" customWidth="1"/>
    <col min="35" max="35" width="9.44140625" bestFit="1" customWidth="1"/>
    <col min="36" max="36" width="15.33203125" bestFit="1" customWidth="1"/>
    <col min="37" max="37" width="10.44140625" bestFit="1" customWidth="1"/>
    <col min="38" max="38" width="9.44140625" bestFit="1" customWidth="1"/>
    <col min="39" max="39" width="9.6640625" bestFit="1" customWidth="1"/>
    <col min="40" max="40" width="20.33203125" bestFit="1" customWidth="1"/>
    <col min="41" max="41" width="15" bestFit="1" customWidth="1"/>
  </cols>
  <sheetData>
    <row r="1" spans="1:41" x14ac:dyDescent="0.3">
      <c r="A1" s="1" t="s">
        <v>528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1" t="s">
        <v>11</v>
      </c>
      <c r="N1" s="2" t="s">
        <v>12</v>
      </c>
      <c r="O1" s="1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843</v>
      </c>
      <c r="AO1" s="2" t="s">
        <v>39</v>
      </c>
    </row>
    <row r="2" spans="1:41" x14ac:dyDescent="0.3">
      <c r="A2" s="3" t="s">
        <v>368</v>
      </c>
      <c r="B2" s="3" t="s">
        <v>369</v>
      </c>
      <c r="C2" s="4">
        <v>0.52840000152587896</v>
      </c>
      <c r="D2" s="4">
        <v>0.42770000457763674</v>
      </c>
      <c r="E2" s="4">
        <v>0.23719999313354492</v>
      </c>
      <c r="F2" s="15">
        <v>0.23620000839233399</v>
      </c>
      <c r="G2" s="5">
        <v>89</v>
      </c>
      <c r="H2" s="5">
        <v>19.790000915527344</v>
      </c>
      <c r="I2" s="5">
        <v>0.82999998331069946</v>
      </c>
      <c r="J2" s="5">
        <v>25.370000839233398</v>
      </c>
      <c r="K2" s="5">
        <v>0.95</v>
      </c>
      <c r="L2" s="6">
        <v>3000</v>
      </c>
      <c r="M2" s="7" t="s">
        <v>370</v>
      </c>
      <c r="N2" s="6">
        <v>2014</v>
      </c>
      <c r="O2" s="3" t="s">
        <v>371</v>
      </c>
      <c r="P2" s="4">
        <v>0.9741999816894531</v>
      </c>
      <c r="Q2" s="4">
        <v>0</v>
      </c>
      <c r="R2" s="8">
        <v>5</v>
      </c>
      <c r="S2" s="5">
        <v>4.1500000953674316</v>
      </c>
      <c r="T2" s="5">
        <v>1.0099999904632568</v>
      </c>
      <c r="U2" s="9">
        <v>107</v>
      </c>
      <c r="V2" s="9">
        <v>96</v>
      </c>
      <c r="W2" s="14">
        <v>-0.26940000534057618</v>
      </c>
      <c r="X2" s="4">
        <v>-0.39500000000000002</v>
      </c>
      <c r="Y2" s="4">
        <v>0.96639999389648434</v>
      </c>
      <c r="Z2" s="4">
        <v>1.599999964237213E-3</v>
      </c>
      <c r="AA2" s="4">
        <v>2.7200000286102297E-2</v>
      </c>
      <c r="AB2" s="4">
        <v>4.9000000953674317E-3</v>
      </c>
      <c r="AC2" s="4">
        <v>0.74</v>
      </c>
      <c r="AD2" s="4">
        <v>0</v>
      </c>
      <c r="AE2" s="4">
        <v>2.4500000476837158E-2</v>
      </c>
      <c r="AF2" s="4">
        <v>9.2600002288818359E-2</v>
      </c>
      <c r="AG2" s="4">
        <v>0</v>
      </c>
      <c r="AH2" s="4">
        <v>2.8999999165534975E-3</v>
      </c>
      <c r="AI2" s="4">
        <v>0</v>
      </c>
      <c r="AJ2" s="4">
        <v>2.2499999999999999E-2</v>
      </c>
      <c r="AK2" s="4">
        <v>0.11770000457763671</v>
      </c>
      <c r="AL2" s="4">
        <v>0</v>
      </c>
      <c r="AM2" s="4">
        <v>0</v>
      </c>
      <c r="AN2" s="12">
        <v>0</v>
      </c>
      <c r="AO2" s="13">
        <v>46322</v>
      </c>
    </row>
    <row r="3" spans="1:41" x14ac:dyDescent="0.3">
      <c r="A3" s="3" t="s">
        <v>372</v>
      </c>
      <c r="B3" s="3" t="s">
        <v>369</v>
      </c>
      <c r="C3" s="4">
        <v>0.49560001373291018</v>
      </c>
      <c r="D3" s="4">
        <v>0.46979999542236328</v>
      </c>
      <c r="E3" s="4">
        <v>0.22530000686645507</v>
      </c>
      <c r="G3" s="5">
        <v>89</v>
      </c>
      <c r="H3" s="5">
        <v>21.270000457763672</v>
      </c>
      <c r="I3" s="5">
        <v>0.76999998092651367</v>
      </c>
      <c r="J3" s="5">
        <v>30.260000228881836</v>
      </c>
      <c r="K3" s="5">
        <v>1.08</v>
      </c>
      <c r="L3" s="6">
        <v>17400</v>
      </c>
      <c r="M3" s="7" t="s">
        <v>373</v>
      </c>
      <c r="N3" s="6">
        <v>2006</v>
      </c>
      <c r="O3" s="3" t="s">
        <v>374</v>
      </c>
      <c r="P3" s="4">
        <v>0.96339996337890621</v>
      </c>
      <c r="Q3" s="4">
        <v>0</v>
      </c>
      <c r="R3" s="8">
        <v>5</v>
      </c>
      <c r="S3" s="5">
        <v>3.1700000762939453</v>
      </c>
      <c r="T3" s="5">
        <v>1.190000057220459</v>
      </c>
      <c r="U3" s="9">
        <v>120</v>
      </c>
      <c r="V3" s="10">
        <v>115</v>
      </c>
      <c r="W3" s="14">
        <v>-0.36529998779296874</v>
      </c>
      <c r="X3" s="4">
        <v>-0.39500000000000002</v>
      </c>
      <c r="Y3" s="4">
        <v>0.71410003662109378</v>
      </c>
      <c r="Z3" s="4">
        <v>3.2699999809265134E-2</v>
      </c>
      <c r="AA3" s="4">
        <v>0.22479999542236329</v>
      </c>
      <c r="AB3" s="4">
        <v>2.8399999141693114E-2</v>
      </c>
      <c r="AC3" s="4">
        <v>0.8329000091552734</v>
      </c>
      <c r="AD3" s="4">
        <v>6.3999998569488521E-3</v>
      </c>
      <c r="AE3" s="4">
        <v>4.7999998927116391E-3</v>
      </c>
      <c r="AF3" s="4">
        <v>7.8400001525878907E-2</v>
      </c>
      <c r="AG3" s="4">
        <v>0</v>
      </c>
      <c r="AH3" s="4">
        <v>0</v>
      </c>
      <c r="AI3" s="4">
        <v>0</v>
      </c>
      <c r="AJ3" s="4">
        <v>1.7799999713897705E-2</v>
      </c>
      <c r="AK3" s="4">
        <v>5.9600000381469724E-2</v>
      </c>
      <c r="AL3" s="4">
        <v>0</v>
      </c>
      <c r="AM3" s="4">
        <v>0</v>
      </c>
      <c r="AN3" s="12">
        <v>0</v>
      </c>
      <c r="AO3" s="13">
        <v>46322</v>
      </c>
    </row>
    <row r="4" spans="1:41" x14ac:dyDescent="0.3">
      <c r="A4" s="3" t="s">
        <v>375</v>
      </c>
      <c r="B4" s="3" t="s">
        <v>369</v>
      </c>
      <c r="C4" s="4">
        <v>0.28899999618530275</v>
      </c>
      <c r="D4" s="4">
        <v>0.35450000762939454</v>
      </c>
      <c r="E4" s="4">
        <v>0.21149999618530274</v>
      </c>
      <c r="F4" s="4">
        <v>0.20790000915527343</v>
      </c>
      <c r="G4" s="5">
        <v>74</v>
      </c>
      <c r="H4" s="5">
        <v>17.379999160766602</v>
      </c>
      <c r="I4" s="5">
        <v>0.81000000238418579</v>
      </c>
      <c r="J4" s="5">
        <v>17.579999923706055</v>
      </c>
      <c r="K4" s="5">
        <v>0.76</v>
      </c>
      <c r="L4" s="6">
        <v>3200</v>
      </c>
      <c r="M4" s="7" t="s">
        <v>376</v>
      </c>
      <c r="N4" s="6">
        <v>2007</v>
      </c>
      <c r="O4" s="3" t="s">
        <v>377</v>
      </c>
      <c r="P4" s="4">
        <v>0.97889999389648441</v>
      </c>
      <c r="Q4" s="4">
        <v>0</v>
      </c>
      <c r="R4" s="8">
        <v>4</v>
      </c>
      <c r="S4" s="5">
        <v>3.8199999332427979</v>
      </c>
      <c r="T4" s="5">
        <v>0.69999998807907104</v>
      </c>
      <c r="U4" s="10">
        <v>77</v>
      </c>
      <c r="V4" s="9">
        <v>61</v>
      </c>
      <c r="W4" s="14">
        <v>-0.1640999984741211</v>
      </c>
      <c r="X4" s="4">
        <v>-0.39500000000000002</v>
      </c>
      <c r="Y4" s="4">
        <v>0.66930000305175785</v>
      </c>
      <c r="Z4" s="4">
        <v>0.20420000076293945</v>
      </c>
      <c r="AA4" s="4">
        <v>0.11180000305175782</v>
      </c>
      <c r="AB4" s="4">
        <v>1.4600000381469726E-2</v>
      </c>
      <c r="AC4" s="4">
        <v>0.624900016784668</v>
      </c>
      <c r="AD4" s="4">
        <v>0</v>
      </c>
      <c r="AE4" s="4">
        <v>9.2200002670288092E-2</v>
      </c>
      <c r="AF4" s="4">
        <v>0.19719999313354492</v>
      </c>
      <c r="AG4" s="4">
        <v>0</v>
      </c>
      <c r="AH4" s="4">
        <v>0</v>
      </c>
      <c r="AI4" s="4">
        <v>0</v>
      </c>
      <c r="AJ4" s="4">
        <v>8.5600004196166993E-2</v>
      </c>
      <c r="AK4" s="4">
        <v>0</v>
      </c>
      <c r="AL4" s="4">
        <v>0</v>
      </c>
      <c r="AM4" s="4">
        <v>0</v>
      </c>
      <c r="AN4" s="12">
        <v>1.7686378210783005E-2</v>
      </c>
      <c r="AO4" s="13">
        <v>46322</v>
      </c>
    </row>
    <row r="5" spans="1:41" x14ac:dyDescent="0.3">
      <c r="A5" s="3" t="s">
        <v>241</v>
      </c>
      <c r="B5" s="3" t="s">
        <v>242</v>
      </c>
      <c r="C5" s="4">
        <v>0.40759998321533203</v>
      </c>
      <c r="D5" s="4">
        <v>0.19690000534057617</v>
      </c>
      <c r="E5" s="4">
        <v>0.19370000839233398</v>
      </c>
      <c r="F5" s="4">
        <v>0.12710000038146974</v>
      </c>
      <c r="G5" s="5">
        <v>69</v>
      </c>
      <c r="H5" s="5">
        <v>11.819999694824219</v>
      </c>
      <c r="I5" s="5">
        <v>0.77999997138977051</v>
      </c>
      <c r="J5" s="5">
        <v>16.260000228881836</v>
      </c>
      <c r="K5" s="5">
        <v>1.89</v>
      </c>
      <c r="L5" s="6">
        <v>3700</v>
      </c>
      <c r="M5" s="7" t="s">
        <v>243</v>
      </c>
      <c r="N5" s="6">
        <v>2015</v>
      </c>
      <c r="O5" s="3" t="s">
        <v>244</v>
      </c>
      <c r="P5" s="4">
        <v>0.9005000305175781</v>
      </c>
      <c r="Q5" s="4">
        <v>7.8299999237060547E-2</v>
      </c>
      <c r="R5" s="8">
        <v>4</v>
      </c>
      <c r="S5" s="5">
        <v>9.9099998474121094</v>
      </c>
      <c r="T5" s="5">
        <v>0.67000001668930054</v>
      </c>
      <c r="U5" s="10">
        <v>99</v>
      </c>
      <c r="V5" s="9">
        <v>56</v>
      </c>
      <c r="W5" s="14">
        <v>-0.12640000343322755</v>
      </c>
      <c r="X5" s="4">
        <v>-0.29219999313354494</v>
      </c>
      <c r="Y5" s="4">
        <v>0.3958000183105469</v>
      </c>
      <c r="Z5" s="4">
        <v>0.4115999984741211</v>
      </c>
      <c r="AA5" s="4">
        <v>4.8600001335144041E-2</v>
      </c>
      <c r="AB5" s="4">
        <v>0.14399999618530274</v>
      </c>
      <c r="AC5" s="4">
        <v>2.0999999344348905E-3</v>
      </c>
      <c r="AD5" s="4">
        <v>1.6100000143051147E-2</v>
      </c>
      <c r="AE5" s="4">
        <v>5.6599998474121095E-2</v>
      </c>
      <c r="AF5" s="4">
        <v>0.01</v>
      </c>
      <c r="AG5" s="4">
        <v>0.23719999313354492</v>
      </c>
      <c r="AH5" s="4">
        <v>6.6199998855590816E-2</v>
      </c>
      <c r="AI5" s="4">
        <v>0.45849998474121095</v>
      </c>
      <c r="AJ5" s="4">
        <v>0.06</v>
      </c>
      <c r="AK5" s="4">
        <v>4.6199998855590819E-2</v>
      </c>
      <c r="AL5" s="4">
        <v>1.0599999427795411E-2</v>
      </c>
      <c r="AM5" s="4">
        <v>3.6500000953674318E-2</v>
      </c>
      <c r="AN5" s="12">
        <v>0.15855956077575684</v>
      </c>
      <c r="AO5" s="13">
        <v>46322</v>
      </c>
    </row>
    <row r="6" spans="1:41" x14ac:dyDescent="0.3">
      <c r="A6" s="3" t="s">
        <v>315</v>
      </c>
      <c r="B6" s="3" t="s">
        <v>316</v>
      </c>
      <c r="C6" s="4">
        <v>0.10229999542236329</v>
      </c>
      <c r="D6" s="4">
        <v>0.30889999389648437</v>
      </c>
      <c r="E6" s="4">
        <v>0.19010000228881835</v>
      </c>
      <c r="F6" s="4">
        <v>0.13279999732971193</v>
      </c>
      <c r="G6" s="5">
        <v>84</v>
      </c>
      <c r="H6" s="5">
        <v>12.689999580383301</v>
      </c>
      <c r="I6" s="5">
        <v>1.0900000333786011</v>
      </c>
      <c r="J6" s="5">
        <v>17.530000686645508</v>
      </c>
      <c r="K6" s="5">
        <v>1.6</v>
      </c>
      <c r="L6" s="6">
        <v>782</v>
      </c>
      <c r="M6" s="7" t="s">
        <v>317</v>
      </c>
      <c r="N6" s="6">
        <v>2010</v>
      </c>
      <c r="O6" s="3" t="s">
        <v>318</v>
      </c>
      <c r="P6" s="4">
        <v>1.0369999694824219</v>
      </c>
      <c r="Q6" s="4">
        <v>0</v>
      </c>
      <c r="R6" s="8">
        <v>5</v>
      </c>
      <c r="S6" s="5">
        <v>16.430000305175781</v>
      </c>
      <c r="T6" s="5">
        <v>0.89999997615814209</v>
      </c>
      <c r="U6" s="9">
        <v>141</v>
      </c>
      <c r="V6" s="9">
        <v>67</v>
      </c>
      <c r="W6" s="14">
        <v>-0.16309999465942382</v>
      </c>
      <c r="X6" s="4">
        <v>-0.32970001220703127</v>
      </c>
      <c r="Y6" s="4">
        <v>7.6999998092651366E-3</v>
      </c>
      <c r="Z6" s="4">
        <v>0.99230003356933594</v>
      </c>
      <c r="AA6" s="4">
        <v>0</v>
      </c>
      <c r="AB6" s="4">
        <v>0</v>
      </c>
      <c r="AC6" s="4">
        <v>0.11300000190734863</v>
      </c>
      <c r="AD6" s="4">
        <v>4.9000000953674317E-3</v>
      </c>
      <c r="AE6" s="4">
        <v>0.1459000015258789</v>
      </c>
      <c r="AF6" s="4">
        <v>0.12229999542236328</v>
      </c>
      <c r="AG6" s="4">
        <v>8.1300001144409176E-2</v>
      </c>
      <c r="AH6" s="4">
        <v>5.199999809265137E-3</v>
      </c>
      <c r="AI6" s="4">
        <v>6.0700001716613772E-2</v>
      </c>
      <c r="AJ6" s="4">
        <v>0.105</v>
      </c>
      <c r="AK6" s="4">
        <v>0.34080001831054685</v>
      </c>
      <c r="AL6" s="4">
        <v>2.0999999046325685E-2</v>
      </c>
      <c r="AM6" s="4">
        <v>0</v>
      </c>
      <c r="AN6" s="12">
        <v>1.5513074584305286E-2</v>
      </c>
      <c r="AO6" s="13">
        <v>46322</v>
      </c>
    </row>
    <row r="7" spans="1:41" x14ac:dyDescent="0.3">
      <c r="A7" s="3" t="s">
        <v>245</v>
      </c>
      <c r="B7" s="3" t="s">
        <v>48</v>
      </c>
      <c r="C7" s="4">
        <v>0.29819999694824217</v>
      </c>
      <c r="D7" s="15">
        <v>0.26170000076293948</v>
      </c>
      <c r="E7" s="15">
        <v>0.17020000457763673</v>
      </c>
      <c r="G7" s="5">
        <v>83</v>
      </c>
      <c r="H7" s="5">
        <v>8.25</v>
      </c>
      <c r="I7" s="19">
        <v>0.6600000262260437</v>
      </c>
      <c r="J7" s="19">
        <v>16.360000610351562</v>
      </c>
      <c r="K7" s="5">
        <v>1.1100000000000001</v>
      </c>
      <c r="L7" s="6">
        <v>1200</v>
      </c>
      <c r="M7" s="7" t="s">
        <v>246</v>
      </c>
      <c r="N7" s="6">
        <v>2017</v>
      </c>
      <c r="O7" s="3" t="s">
        <v>247</v>
      </c>
      <c r="P7" s="4">
        <v>0.9529000091552734</v>
      </c>
      <c r="Q7" s="4">
        <v>1.7500000000000002E-2</v>
      </c>
      <c r="R7" s="20">
        <v>5</v>
      </c>
      <c r="S7" s="19">
        <v>9.3599996566772461</v>
      </c>
      <c r="T7" s="19">
        <v>0.88999998569488525</v>
      </c>
      <c r="U7" s="22">
        <v>112</v>
      </c>
      <c r="V7" s="22">
        <v>74</v>
      </c>
      <c r="W7" s="23">
        <v>-0.16870000839233398</v>
      </c>
      <c r="X7" s="15">
        <v>-0.31540000915527344</v>
      </c>
      <c r="Y7" s="4">
        <v>0.10789999961853028</v>
      </c>
      <c r="Z7" s="4">
        <v>0.60430000305175779</v>
      </c>
      <c r="AA7" s="4">
        <v>0.14579999923706055</v>
      </c>
      <c r="AB7" s="4">
        <v>0.14210000038146972</v>
      </c>
      <c r="AC7" s="4">
        <v>2.7699999809265137E-2</v>
      </c>
      <c r="AD7" s="4">
        <v>7.0999999046325687E-2</v>
      </c>
      <c r="AE7" s="4">
        <v>0</v>
      </c>
      <c r="AF7" s="4">
        <v>4.6999999880790707E-3</v>
      </c>
      <c r="AG7" s="4">
        <v>0.12439999580383301</v>
      </c>
      <c r="AH7" s="4">
        <v>1.8500000238418579E-2</v>
      </c>
      <c r="AI7" s="4">
        <v>0.31799999237060544</v>
      </c>
      <c r="AJ7" s="4">
        <v>0.21690000534057619</v>
      </c>
      <c r="AK7" s="4">
        <v>0.19540000915527345</v>
      </c>
      <c r="AL7" s="4">
        <v>2.319999933242798E-2</v>
      </c>
      <c r="AM7" s="4">
        <v>0</v>
      </c>
      <c r="AN7" s="12">
        <v>0.11175230145454407</v>
      </c>
      <c r="AO7" s="13">
        <v>46322</v>
      </c>
    </row>
    <row r="8" spans="1:41" x14ac:dyDescent="0.3">
      <c r="A8" s="3" t="s">
        <v>248</v>
      </c>
      <c r="B8" s="3" t="s">
        <v>48</v>
      </c>
      <c r="C8" s="4">
        <v>0.25610000610351563</v>
      </c>
      <c r="D8" s="15">
        <v>0.26040000915527345</v>
      </c>
      <c r="E8" s="15">
        <v>0.16920000076293945</v>
      </c>
      <c r="F8" s="15">
        <v>7.3800001144409183E-2</v>
      </c>
      <c r="G8" s="5">
        <v>77</v>
      </c>
      <c r="H8" s="5">
        <v>8.6400003433227539</v>
      </c>
      <c r="I8" s="19">
        <v>0.67000001668930054</v>
      </c>
      <c r="J8" s="19">
        <v>16</v>
      </c>
      <c r="K8" s="5">
        <v>1.1100000000000001</v>
      </c>
      <c r="L8" s="6">
        <v>1500</v>
      </c>
      <c r="M8" s="7" t="s">
        <v>246</v>
      </c>
      <c r="N8" s="6">
        <v>2017</v>
      </c>
      <c r="O8" s="3" t="s">
        <v>249</v>
      </c>
      <c r="P8" s="4">
        <v>0.95279998779296871</v>
      </c>
      <c r="Q8" s="4">
        <v>1.4900000095367431E-2</v>
      </c>
      <c r="R8" s="20">
        <v>5</v>
      </c>
      <c r="S8" s="19">
        <v>9.3599996566772461</v>
      </c>
      <c r="T8" s="19">
        <v>0.87999999523162842</v>
      </c>
      <c r="U8" s="21">
        <v>96</v>
      </c>
      <c r="V8" s="22">
        <v>33</v>
      </c>
      <c r="W8" s="23">
        <v>-5.4200000762939453E-2</v>
      </c>
      <c r="X8" s="15">
        <v>-0.11140000343322753</v>
      </c>
      <c r="Y8" s="4">
        <v>9.2399997711181639E-2</v>
      </c>
      <c r="Z8" s="4">
        <v>0.66339996337890628</v>
      </c>
      <c r="AA8" s="4">
        <v>0.12380000114440919</v>
      </c>
      <c r="AB8" s="4">
        <v>0.12050000190734864</v>
      </c>
      <c r="AC8" s="4">
        <v>2.9000000953674318E-2</v>
      </c>
      <c r="AD8" s="4">
        <v>9.6899995803833003E-2</v>
      </c>
      <c r="AE8" s="4">
        <v>0</v>
      </c>
      <c r="AF8" s="4">
        <v>9.4999998807907098E-3</v>
      </c>
      <c r="AG8" s="4">
        <v>0.13300000190734862</v>
      </c>
      <c r="AH8" s="4">
        <v>1.559999942779541E-2</v>
      </c>
      <c r="AI8" s="4">
        <v>0.27010000228881836</v>
      </c>
      <c r="AJ8" s="4">
        <v>0.21040000915527343</v>
      </c>
      <c r="AK8" s="4">
        <v>0.21579999923706056</v>
      </c>
      <c r="AL8" s="4">
        <v>1.9700000286102293E-2</v>
      </c>
      <c r="AM8" s="4">
        <v>0</v>
      </c>
      <c r="AN8" s="12">
        <v>4.0632046759128571E-2</v>
      </c>
      <c r="AO8" s="13">
        <v>46322</v>
      </c>
    </row>
    <row r="9" spans="1:41" x14ac:dyDescent="0.3">
      <c r="A9" s="3" t="s">
        <v>319</v>
      </c>
      <c r="B9" s="3" t="s">
        <v>320</v>
      </c>
      <c r="C9" s="4">
        <v>5.3000001907348632E-2</v>
      </c>
      <c r="D9" s="4">
        <v>0.27159999847412108</v>
      </c>
      <c r="E9" s="4">
        <v>0.1665999984741211</v>
      </c>
      <c r="F9" s="4">
        <v>0.11829999923706054</v>
      </c>
      <c r="G9" s="5">
        <v>82</v>
      </c>
      <c r="H9" s="5">
        <v>12.010000228881836</v>
      </c>
      <c r="I9" s="5">
        <v>1</v>
      </c>
      <c r="J9" s="5">
        <v>16.659999847412109</v>
      </c>
      <c r="K9" s="5">
        <v>1.35</v>
      </c>
      <c r="L9" s="6">
        <v>873</v>
      </c>
      <c r="M9" s="7" t="s">
        <v>317</v>
      </c>
      <c r="N9" s="6">
        <v>2006</v>
      </c>
      <c r="O9" s="3" t="s">
        <v>321</v>
      </c>
      <c r="P9" s="4">
        <v>1.0230000305175782</v>
      </c>
      <c r="Q9" s="4">
        <v>0</v>
      </c>
      <c r="R9" s="8">
        <v>5</v>
      </c>
      <c r="S9" s="5">
        <v>8.4499998092651367</v>
      </c>
      <c r="T9" s="5">
        <v>0.98000001907348633</v>
      </c>
      <c r="U9" s="9">
        <v>121</v>
      </c>
      <c r="V9" s="9">
        <v>78</v>
      </c>
      <c r="W9" s="14">
        <v>-0.1534000015258789</v>
      </c>
      <c r="X9" s="4">
        <v>-0.24530000686645509</v>
      </c>
      <c r="Y9" s="4">
        <v>5.0000000000000001E-3</v>
      </c>
      <c r="Z9" s="4">
        <v>0.995</v>
      </c>
      <c r="AA9" s="4">
        <v>0</v>
      </c>
      <c r="AB9" s="4">
        <v>0</v>
      </c>
      <c r="AC9" s="4">
        <v>8.3000001907348631E-2</v>
      </c>
      <c r="AD9" s="4">
        <v>0</v>
      </c>
      <c r="AE9" s="4">
        <v>0.15229999542236328</v>
      </c>
      <c r="AF9" s="4">
        <v>0.15949999809265136</v>
      </c>
      <c r="AG9" s="4">
        <v>6.3499999046325681E-2</v>
      </c>
      <c r="AH9" s="4">
        <v>4.7999998927116391E-3</v>
      </c>
      <c r="AI9" s="4">
        <v>5.5799999237060548E-2</v>
      </c>
      <c r="AJ9" s="4">
        <v>9.2600002288818359E-2</v>
      </c>
      <c r="AK9" s="4">
        <v>0.3388999938964844</v>
      </c>
      <c r="AL9" s="4">
        <v>1.2699999809265138E-2</v>
      </c>
      <c r="AM9" s="4">
        <v>3.6900000572204592E-2</v>
      </c>
      <c r="AN9" s="12">
        <v>4.952799528837204E-3</v>
      </c>
      <c r="AO9" s="13">
        <v>46322</v>
      </c>
    </row>
    <row r="10" spans="1:41" x14ac:dyDescent="0.3">
      <c r="A10" s="3" t="s">
        <v>40</v>
      </c>
      <c r="B10" s="3" t="s">
        <v>41</v>
      </c>
      <c r="C10" s="4">
        <v>0.25079999923706053</v>
      </c>
      <c r="D10" s="4">
        <v>0.23610000610351561</v>
      </c>
      <c r="E10" s="4">
        <v>0.16309999465942382</v>
      </c>
      <c r="G10" s="5">
        <v>58</v>
      </c>
      <c r="H10" s="5">
        <v>13.060000419616699</v>
      </c>
      <c r="I10" s="5">
        <v>0.61000001430511475</v>
      </c>
      <c r="J10" s="5">
        <v>14.600000381469727</v>
      </c>
      <c r="K10" s="5">
        <v>0.75</v>
      </c>
      <c r="L10" s="6">
        <v>3400</v>
      </c>
      <c r="M10" s="7" t="s">
        <v>42</v>
      </c>
      <c r="N10" s="6">
        <v>2019</v>
      </c>
      <c r="O10" s="3" t="s">
        <v>43</v>
      </c>
      <c r="P10" s="4">
        <v>0.96620002746582034</v>
      </c>
      <c r="Q10" s="4">
        <v>0</v>
      </c>
      <c r="R10" s="8">
        <v>5</v>
      </c>
      <c r="S10" s="5">
        <v>0.80000001192092896</v>
      </c>
      <c r="T10" s="5">
        <v>1.2300000190734863</v>
      </c>
      <c r="U10" s="9">
        <v>110</v>
      </c>
      <c r="V10" s="10">
        <v>114</v>
      </c>
      <c r="W10" s="14">
        <v>-7.09000015258789E-2</v>
      </c>
      <c r="X10" s="4">
        <v>-7.4800000190734864E-2</v>
      </c>
      <c r="Y10" s="4">
        <v>0.33159999847412108</v>
      </c>
      <c r="Z10" s="4">
        <v>0.63580001831054689</v>
      </c>
      <c r="AA10" s="4">
        <v>3.2599999904632568E-2</v>
      </c>
      <c r="AB10" s="4">
        <v>0</v>
      </c>
      <c r="AC10" s="4">
        <v>0</v>
      </c>
      <c r="AD10" s="4">
        <v>0.155</v>
      </c>
      <c r="AE10" s="4">
        <v>0.15039999961853026</v>
      </c>
      <c r="AF10" s="4">
        <v>0</v>
      </c>
      <c r="AG10" s="4">
        <v>0.14119999885559081</v>
      </c>
      <c r="AH10" s="4">
        <v>0.145600004196167</v>
      </c>
      <c r="AI10" s="4">
        <v>1.8200000524520876E-2</v>
      </c>
      <c r="AJ10" s="4">
        <v>0.15260000228881837</v>
      </c>
      <c r="AK10" s="4">
        <v>0.21149999618530274</v>
      </c>
      <c r="AL10" s="4">
        <v>0</v>
      </c>
      <c r="AM10" s="4">
        <v>2.5499999523162842E-2</v>
      </c>
      <c r="AN10" s="12">
        <v>0</v>
      </c>
      <c r="AO10" s="13">
        <v>46322</v>
      </c>
    </row>
    <row r="11" spans="1:41" x14ac:dyDescent="0.3">
      <c r="A11" s="3" t="s">
        <v>322</v>
      </c>
      <c r="B11" s="3" t="s">
        <v>323</v>
      </c>
      <c r="C11" s="4">
        <v>0.27540000915527346</v>
      </c>
      <c r="D11" s="4">
        <v>0.23110000610351564</v>
      </c>
      <c r="E11" s="4">
        <v>0.16049999237060547</v>
      </c>
      <c r="F11" s="4">
        <v>0.12300000190734864</v>
      </c>
      <c r="G11" s="5">
        <v>52</v>
      </c>
      <c r="H11" s="5">
        <v>11.880000114440918</v>
      </c>
      <c r="I11" s="5">
        <v>0.97000002861022949</v>
      </c>
      <c r="J11" s="5">
        <v>13.939999580383301</v>
      </c>
      <c r="K11" s="5">
        <v>0.92</v>
      </c>
      <c r="L11" s="6">
        <v>1400</v>
      </c>
      <c r="M11" s="7" t="s">
        <v>324</v>
      </c>
      <c r="N11" s="6">
        <v>2022</v>
      </c>
      <c r="O11" s="3" t="s">
        <v>325</v>
      </c>
      <c r="P11" s="4">
        <v>0.72519996643066409</v>
      </c>
      <c r="Q11" s="4">
        <v>0.17229999542236329</v>
      </c>
      <c r="R11" s="8">
        <v>5</v>
      </c>
      <c r="S11" s="5">
        <v>6.630000114440918</v>
      </c>
      <c r="T11" s="5">
        <v>0.8399999737739563</v>
      </c>
      <c r="U11" s="10">
        <v>93</v>
      </c>
      <c r="V11" s="9">
        <v>39</v>
      </c>
      <c r="W11" s="14">
        <v>-4.6100001335144046E-2</v>
      </c>
      <c r="X11" s="4">
        <v>-8.1199998855590816E-2</v>
      </c>
      <c r="Y11" s="4">
        <v>5.8400001525878903E-2</v>
      </c>
      <c r="Z11" s="4">
        <v>0.94169998168945313</v>
      </c>
      <c r="AA11" s="4">
        <v>0</v>
      </c>
      <c r="AB11" s="4">
        <v>0</v>
      </c>
      <c r="AC11" s="4">
        <v>0</v>
      </c>
      <c r="AD11" s="4">
        <v>0.13850000381469726</v>
      </c>
      <c r="AE11" s="4">
        <v>0</v>
      </c>
      <c r="AF11" s="4">
        <v>3.8199999332427979E-2</v>
      </c>
      <c r="AG11" s="4">
        <v>0.18280000686645509</v>
      </c>
      <c r="AH11" s="4">
        <v>0.31409999847412107</v>
      </c>
      <c r="AI11" s="4">
        <v>0.32630001068115233</v>
      </c>
      <c r="AJ11" s="4">
        <v>0</v>
      </c>
      <c r="AK11" s="4">
        <v>0</v>
      </c>
      <c r="AL11" s="4">
        <v>0</v>
      </c>
      <c r="AM11" s="4">
        <v>0</v>
      </c>
      <c r="AN11" s="12">
        <v>0</v>
      </c>
      <c r="AO11" s="13">
        <v>46322</v>
      </c>
    </row>
    <row r="12" spans="1:41" x14ac:dyDescent="0.3">
      <c r="A12" s="3" t="s">
        <v>326</v>
      </c>
      <c r="B12" s="3" t="s">
        <v>327</v>
      </c>
      <c r="C12" s="4">
        <v>0.19350000381469726</v>
      </c>
      <c r="D12" s="4">
        <v>0.23110000610351564</v>
      </c>
      <c r="E12" s="4">
        <v>0.15390000343322754</v>
      </c>
      <c r="F12" s="4">
        <v>0.11539999961853027</v>
      </c>
      <c r="G12" s="5">
        <v>62</v>
      </c>
      <c r="H12" s="5">
        <v>10.789999961853027</v>
      </c>
      <c r="I12" s="5">
        <v>1.1299999952316284</v>
      </c>
      <c r="J12" s="5">
        <v>12.149999618530273</v>
      </c>
      <c r="K12" s="5">
        <v>0.86</v>
      </c>
      <c r="L12" s="6">
        <v>8400</v>
      </c>
      <c r="M12" s="7" t="s">
        <v>328</v>
      </c>
      <c r="N12" s="6">
        <v>2018</v>
      </c>
      <c r="O12" s="3" t="s">
        <v>329</v>
      </c>
      <c r="P12" s="4">
        <v>0.96050003051757815</v>
      </c>
      <c r="Q12" s="4">
        <v>0</v>
      </c>
      <c r="R12" s="8">
        <v>5</v>
      </c>
      <c r="S12" s="5">
        <v>2.4200000762939453</v>
      </c>
      <c r="T12" s="5">
        <v>0.93999999761581421</v>
      </c>
      <c r="U12" s="9">
        <v>103</v>
      </c>
      <c r="V12" s="9">
        <v>93</v>
      </c>
      <c r="W12" s="14">
        <v>-0.135600004196167</v>
      </c>
      <c r="X12" s="4">
        <v>-0.17739999771118165</v>
      </c>
      <c r="Y12" s="4">
        <v>2.2999999523162843E-2</v>
      </c>
      <c r="Z12" s="4">
        <v>0.97699996948242185</v>
      </c>
      <c r="AA12" s="4">
        <v>0</v>
      </c>
      <c r="AB12" s="4">
        <v>0</v>
      </c>
      <c r="AC12" s="4">
        <v>3.0399999618530273E-2</v>
      </c>
      <c r="AD12" s="4">
        <v>0.13699999809265137</v>
      </c>
      <c r="AE12" s="4">
        <v>0.23260000228881836</v>
      </c>
      <c r="AF12" s="4">
        <v>2.9000000953674318E-2</v>
      </c>
      <c r="AG12" s="4">
        <v>0.10100000381469726</v>
      </c>
      <c r="AH12" s="4">
        <v>0.11060000419616699</v>
      </c>
      <c r="AI12" s="4">
        <v>4.7699999809265134E-2</v>
      </c>
      <c r="AJ12" s="4">
        <v>9.4300003051757814E-2</v>
      </c>
      <c r="AK12" s="4">
        <v>0.15300000190734864</v>
      </c>
      <c r="AL12" s="4">
        <v>0.02</v>
      </c>
      <c r="AM12" s="4">
        <v>4.4400000572204591E-2</v>
      </c>
      <c r="AN12" s="12">
        <v>4.2984732426702976E-3</v>
      </c>
      <c r="AO12" s="13">
        <v>46322</v>
      </c>
    </row>
    <row r="13" spans="1:41" x14ac:dyDescent="0.3">
      <c r="A13" s="3" t="s">
        <v>44</v>
      </c>
      <c r="B13" s="3" t="s">
        <v>41</v>
      </c>
      <c r="C13" s="4">
        <v>0.30760000228881834</v>
      </c>
      <c r="D13" s="4">
        <v>0.24239999771118165</v>
      </c>
      <c r="E13" s="4">
        <v>0.15229999542236328</v>
      </c>
      <c r="F13" s="4">
        <v>0.11010000228881836</v>
      </c>
      <c r="G13" s="5">
        <v>57</v>
      </c>
      <c r="H13" s="5">
        <v>9.9200000762939453</v>
      </c>
      <c r="I13" s="5">
        <v>0.68000000715255737</v>
      </c>
      <c r="J13" s="5">
        <v>12.300000190734863</v>
      </c>
      <c r="K13" s="5">
        <v>0.69</v>
      </c>
      <c r="L13" s="6">
        <v>228</v>
      </c>
      <c r="M13" s="7" t="s">
        <v>45</v>
      </c>
      <c r="N13" s="6">
        <v>2018</v>
      </c>
      <c r="O13" s="3" t="s">
        <v>46</v>
      </c>
      <c r="P13" s="4">
        <v>0.97599998474121097</v>
      </c>
      <c r="Q13" s="4">
        <v>1.599999964237213E-3</v>
      </c>
      <c r="R13" s="8">
        <v>5</v>
      </c>
      <c r="S13" s="5">
        <v>3.7599999904632568</v>
      </c>
      <c r="T13" s="5">
        <v>0.87000000476837158</v>
      </c>
      <c r="U13" s="9">
        <v>101</v>
      </c>
      <c r="V13" s="9">
        <v>77</v>
      </c>
      <c r="W13" s="11">
        <v>-0.11279999732971191</v>
      </c>
      <c r="X13" s="4">
        <v>-9.5100002288818361E-2</v>
      </c>
      <c r="Y13" s="4">
        <v>0.57590000152587895</v>
      </c>
      <c r="Z13" s="4">
        <v>0.16030000686645507</v>
      </c>
      <c r="AA13" s="4">
        <v>0.14979999542236327</v>
      </c>
      <c r="AB13" s="4">
        <v>0.1140999984741211</v>
      </c>
      <c r="AC13" s="4">
        <v>0.28209999084472659</v>
      </c>
      <c r="AD13" s="4">
        <v>0.14699999809265138</v>
      </c>
      <c r="AE13" s="4">
        <v>0.19979999542236329</v>
      </c>
      <c r="AF13" s="4">
        <v>0.10140000343322754</v>
      </c>
      <c r="AG13" s="4">
        <v>6.2999999523162846E-3</v>
      </c>
      <c r="AH13" s="4">
        <v>2.4700000286102294E-2</v>
      </c>
      <c r="AI13" s="4">
        <v>3.490000009536743E-2</v>
      </c>
      <c r="AJ13" s="4">
        <v>0.12479999542236328</v>
      </c>
      <c r="AK13" s="4">
        <v>6.5199999809265136E-2</v>
      </c>
      <c r="AL13" s="4">
        <v>7.6999998092651366E-3</v>
      </c>
      <c r="AM13" s="4">
        <v>6.1000001430511477E-3</v>
      </c>
      <c r="AN13" s="12">
        <v>0</v>
      </c>
      <c r="AO13" s="13">
        <v>46322</v>
      </c>
    </row>
    <row r="14" spans="1:41" x14ac:dyDescent="0.3">
      <c r="A14" s="3" t="s">
        <v>378</v>
      </c>
      <c r="B14" s="3" t="s">
        <v>369</v>
      </c>
      <c r="C14" s="4">
        <v>0.20790000915527343</v>
      </c>
      <c r="D14" s="4">
        <v>0.25120000839233397</v>
      </c>
      <c r="E14" s="4">
        <v>0.15220000267028808</v>
      </c>
      <c r="F14" s="4">
        <v>0.20770000457763671</v>
      </c>
      <c r="G14" s="5">
        <v>71</v>
      </c>
      <c r="H14" s="5">
        <v>18.469999313354492</v>
      </c>
      <c r="I14" s="5">
        <v>0.61000001430511475</v>
      </c>
      <c r="J14" s="5">
        <v>17.440000534057617</v>
      </c>
      <c r="K14" s="5">
        <v>1</v>
      </c>
      <c r="L14" s="6">
        <v>33800</v>
      </c>
      <c r="M14" s="7" t="s">
        <v>379</v>
      </c>
      <c r="N14" s="6">
        <v>2013</v>
      </c>
      <c r="O14" s="3" t="s">
        <v>380</v>
      </c>
      <c r="P14" s="4">
        <v>0.96900001525878909</v>
      </c>
      <c r="Q14" s="4">
        <v>2.5399999618530275E-2</v>
      </c>
      <c r="R14" s="8">
        <v>4</v>
      </c>
      <c r="S14" s="5">
        <v>-0.95999997854232788</v>
      </c>
      <c r="T14" s="5">
        <v>0.73000001907348633</v>
      </c>
      <c r="U14" s="10">
        <v>75</v>
      </c>
      <c r="V14" s="9">
        <v>76</v>
      </c>
      <c r="W14" s="11">
        <v>-0.15149999618530274</v>
      </c>
      <c r="X14" s="4">
        <v>-0.11590000152587891</v>
      </c>
      <c r="Y14" s="4">
        <v>0.55900001525878906</v>
      </c>
      <c r="Z14" s="4">
        <v>0.16729999542236329</v>
      </c>
      <c r="AA14" s="4">
        <v>0.18329999923706056</v>
      </c>
      <c r="AB14" s="4">
        <v>9.0500001907348637E-2</v>
      </c>
      <c r="AC14" s="4">
        <v>0.69330001831054688</v>
      </c>
      <c r="AD14" s="4">
        <v>0</v>
      </c>
      <c r="AE14" s="4">
        <v>7.9000002145767217E-3</v>
      </c>
      <c r="AF14" s="4">
        <v>0.14539999961853028</v>
      </c>
      <c r="AG14" s="4">
        <v>1.1399999856948853E-2</v>
      </c>
      <c r="AH14" s="4">
        <v>0</v>
      </c>
      <c r="AI14" s="4">
        <v>5.8999997377395634E-3</v>
      </c>
      <c r="AJ14" s="4">
        <v>6.6700000762939457E-2</v>
      </c>
      <c r="AK14" s="4">
        <v>4.2199997901916503E-2</v>
      </c>
      <c r="AL14" s="4">
        <v>2.7300000190734863E-2</v>
      </c>
      <c r="AM14" s="4">
        <v>0</v>
      </c>
      <c r="AN14" s="12">
        <v>4.53602634370327E-2</v>
      </c>
      <c r="AO14" s="13">
        <v>46322</v>
      </c>
    </row>
    <row r="15" spans="1:41" x14ac:dyDescent="0.3">
      <c r="A15" s="3" t="s">
        <v>268</v>
      </c>
      <c r="B15" s="3" t="s">
        <v>269</v>
      </c>
      <c r="C15" s="4">
        <v>0.13300000190734862</v>
      </c>
      <c r="D15" s="4">
        <v>0.35080001831054686</v>
      </c>
      <c r="E15" s="4">
        <v>0.15100000381469728</v>
      </c>
      <c r="F15" s="4">
        <v>0.18709999084472656</v>
      </c>
      <c r="G15" s="5">
        <v>77</v>
      </c>
      <c r="H15" s="5">
        <v>23.329999923706055</v>
      </c>
      <c r="I15" s="5">
        <v>0.62999999523162842</v>
      </c>
      <c r="J15" s="5">
        <v>22.440000534057617</v>
      </c>
      <c r="K15" s="5">
        <v>1.05</v>
      </c>
      <c r="L15" s="6">
        <v>764</v>
      </c>
      <c r="M15" s="7" t="s">
        <v>270</v>
      </c>
      <c r="N15" s="6">
        <v>1999</v>
      </c>
      <c r="O15" s="3" t="s">
        <v>271</v>
      </c>
      <c r="P15" s="4">
        <v>0.95110000610351564</v>
      </c>
      <c r="Q15" s="4">
        <v>0</v>
      </c>
      <c r="R15" s="8">
        <v>5</v>
      </c>
      <c r="S15" s="5">
        <v>3.5199999809265137</v>
      </c>
      <c r="T15" s="5">
        <v>1.1000000238418579</v>
      </c>
      <c r="U15" s="9">
        <v>116</v>
      </c>
      <c r="V15" s="10">
        <v>106</v>
      </c>
      <c r="W15" s="11">
        <v>-0.33930000305175784</v>
      </c>
      <c r="X15" s="4">
        <v>-0.28899999618530275</v>
      </c>
      <c r="Y15" s="4">
        <v>0.91889999389648436</v>
      </c>
      <c r="Z15" s="4">
        <v>1.3799999952316283E-2</v>
      </c>
      <c r="AA15" s="4">
        <v>6.25E-2</v>
      </c>
      <c r="AB15" s="4">
        <v>4.7999998927116391E-3</v>
      </c>
      <c r="AC15" s="4">
        <v>0.5002999877929688</v>
      </c>
      <c r="AD15" s="4">
        <v>0.11670000076293946</v>
      </c>
      <c r="AE15" s="4">
        <v>2.4700000286102294E-2</v>
      </c>
      <c r="AF15" s="4">
        <v>0.15590000152587891</v>
      </c>
      <c r="AG15" s="4">
        <v>1.0399999618530274E-2</v>
      </c>
      <c r="AH15" s="4">
        <v>5.9999998658895489E-4</v>
      </c>
      <c r="AI15" s="4">
        <v>0</v>
      </c>
      <c r="AJ15" s="4">
        <v>8.2500000000000004E-2</v>
      </c>
      <c r="AK15" s="4">
        <v>8.1599998474121097E-2</v>
      </c>
      <c r="AL15" s="4">
        <v>5.2999997138977054E-3</v>
      </c>
      <c r="AM15" s="4">
        <v>2.1900000572204589E-2</v>
      </c>
      <c r="AN15" s="12">
        <v>0</v>
      </c>
      <c r="AO15" s="13">
        <v>46322</v>
      </c>
    </row>
    <row r="16" spans="1:41" x14ac:dyDescent="0.3">
      <c r="A16" s="3" t="s">
        <v>457</v>
      </c>
      <c r="B16" s="3" t="s">
        <v>119</v>
      </c>
      <c r="C16" s="4">
        <v>0.25450000762939451</v>
      </c>
      <c r="D16" s="4">
        <v>0.23979999542236327</v>
      </c>
      <c r="E16" s="4">
        <v>0.14909999847412109</v>
      </c>
      <c r="G16" s="5">
        <v>85</v>
      </c>
      <c r="H16" s="5">
        <v>9.8199996948242187</v>
      </c>
      <c r="I16" s="5">
        <v>0.85000002384185791</v>
      </c>
      <c r="J16" s="5">
        <v>15.270000457763672</v>
      </c>
      <c r="K16" s="5">
        <v>0.81</v>
      </c>
      <c r="L16" s="6">
        <v>18</v>
      </c>
      <c r="M16" s="7" t="s">
        <v>458</v>
      </c>
      <c r="N16" s="6">
        <v>2019</v>
      </c>
      <c r="O16" s="3" t="s">
        <v>459</v>
      </c>
      <c r="P16" s="4">
        <v>0.80309997558593749</v>
      </c>
      <c r="Q16" s="4">
        <v>3.950000047683716E-2</v>
      </c>
      <c r="R16" s="8">
        <v>5</v>
      </c>
      <c r="S16" s="5">
        <v>8.4399995803833008</v>
      </c>
      <c r="T16" s="5">
        <v>1.4600000381469727</v>
      </c>
      <c r="U16" s="9">
        <v>180</v>
      </c>
      <c r="V16" s="10">
        <v>118</v>
      </c>
      <c r="W16" s="11">
        <v>-0.16959999084472657</v>
      </c>
      <c r="X16" s="4">
        <v>-0.13649999618530273</v>
      </c>
      <c r="Y16" s="4">
        <v>0.77400001525878903</v>
      </c>
      <c r="Z16" s="4">
        <v>6.1199998855590819E-2</v>
      </c>
      <c r="AA16" s="4">
        <v>3.7400000095367432E-2</v>
      </c>
      <c r="AB16" s="4">
        <v>0.12739999771118163</v>
      </c>
      <c r="AC16" s="4">
        <v>3.7400000095367432E-2</v>
      </c>
      <c r="AD16" s="4">
        <v>0.23860000610351562</v>
      </c>
      <c r="AE16" s="4">
        <v>0.27479999542236327</v>
      </c>
      <c r="AF16" s="4">
        <v>0</v>
      </c>
      <c r="AG16" s="4">
        <v>8.3900003433227538E-2</v>
      </c>
      <c r="AH16" s="4">
        <v>0</v>
      </c>
      <c r="AI16" s="4">
        <v>0.24129999160766602</v>
      </c>
      <c r="AJ16" s="4">
        <v>0.12409999847412109</v>
      </c>
      <c r="AK16" s="4">
        <v>0</v>
      </c>
      <c r="AL16" s="4">
        <v>0</v>
      </c>
      <c r="AM16" s="4">
        <v>0</v>
      </c>
      <c r="AN16" s="12">
        <v>0</v>
      </c>
      <c r="AO16" s="13">
        <v>46322</v>
      </c>
    </row>
    <row r="17" spans="1:41" x14ac:dyDescent="0.3">
      <c r="A17" s="3" t="s">
        <v>381</v>
      </c>
      <c r="B17" s="3" t="s">
        <v>369</v>
      </c>
      <c r="C17" s="4">
        <v>0.27079999923706055</v>
      </c>
      <c r="D17" s="4">
        <v>0.29649999618530276</v>
      </c>
      <c r="E17" s="4">
        <v>0.14810000419616698</v>
      </c>
      <c r="F17" s="4">
        <v>0.20770000457763671</v>
      </c>
      <c r="G17" s="5">
        <v>83</v>
      </c>
      <c r="H17" s="5">
        <v>27.739999771118164</v>
      </c>
      <c r="I17" s="5">
        <v>0.5899999737739563</v>
      </c>
      <c r="J17" s="5">
        <v>22.120000839233398</v>
      </c>
      <c r="K17" s="5">
        <v>0.96</v>
      </c>
      <c r="L17" s="6">
        <v>5900</v>
      </c>
      <c r="M17" s="7" t="s">
        <v>382</v>
      </c>
      <c r="N17" s="6">
        <v>2016</v>
      </c>
      <c r="O17" s="3" t="s">
        <v>383</v>
      </c>
      <c r="P17" s="4">
        <v>0.99550003051757807</v>
      </c>
      <c r="Q17" s="4">
        <v>0</v>
      </c>
      <c r="R17" s="8">
        <v>4</v>
      </c>
      <c r="S17" s="5">
        <v>-2.5</v>
      </c>
      <c r="T17" s="5">
        <v>0.92000001668930054</v>
      </c>
      <c r="U17" s="10">
        <v>91</v>
      </c>
      <c r="V17" s="9">
        <v>99</v>
      </c>
      <c r="W17" s="14">
        <v>-0.26</v>
      </c>
      <c r="X17" s="4">
        <v>-0.39500000000000002</v>
      </c>
      <c r="Y17" s="4">
        <v>0.89150001525878908</v>
      </c>
      <c r="Z17" s="4">
        <v>4.7699999809265134E-2</v>
      </c>
      <c r="AA17" s="4">
        <v>4.8499999046325681E-2</v>
      </c>
      <c r="AB17" s="4">
        <v>1.2400000095367432E-2</v>
      </c>
      <c r="AC17" s="4">
        <v>0.72819999694824222</v>
      </c>
      <c r="AD17" s="4">
        <v>1.8099999427795409E-2</v>
      </c>
      <c r="AE17" s="4">
        <v>3.7599999904632565E-2</v>
      </c>
      <c r="AF17" s="4">
        <v>9.6400003433227535E-2</v>
      </c>
      <c r="AG17" s="4">
        <v>0</v>
      </c>
      <c r="AH17" s="4">
        <v>0</v>
      </c>
      <c r="AI17" s="4">
        <v>0</v>
      </c>
      <c r="AJ17" s="4">
        <v>5.9400000572204591E-2</v>
      </c>
      <c r="AK17" s="4">
        <v>4.4200000762939451E-2</v>
      </c>
      <c r="AL17" s="4">
        <v>1.6100000143051147E-2</v>
      </c>
      <c r="AM17" s="4">
        <v>0</v>
      </c>
      <c r="AN17" s="12">
        <v>0</v>
      </c>
      <c r="AO17" s="13">
        <v>46322</v>
      </c>
    </row>
    <row r="18" spans="1:41" x14ac:dyDescent="0.3">
      <c r="A18" s="3" t="s">
        <v>384</v>
      </c>
      <c r="B18" s="3" t="s">
        <v>369</v>
      </c>
      <c r="C18" s="4">
        <v>0.31190000534057616</v>
      </c>
      <c r="D18" s="4">
        <v>0.38069999694824219</v>
      </c>
      <c r="E18" s="4">
        <v>0.14670000076293946</v>
      </c>
      <c r="F18" s="4">
        <v>0.22079999923706053</v>
      </c>
      <c r="G18" s="5">
        <v>88</v>
      </c>
      <c r="H18" s="5">
        <v>22.870000839233398</v>
      </c>
      <c r="I18" s="5">
        <v>0</v>
      </c>
      <c r="J18" s="5">
        <v>0</v>
      </c>
      <c r="K18" s="5">
        <v>1.19</v>
      </c>
      <c r="L18" s="6">
        <v>3100</v>
      </c>
      <c r="M18" s="7" t="s">
        <v>385</v>
      </c>
      <c r="N18" s="6">
        <v>2017</v>
      </c>
      <c r="O18" s="3" t="s">
        <v>386</v>
      </c>
      <c r="P18" s="4">
        <v>0.99919998168945312</v>
      </c>
      <c r="Q18" s="4">
        <v>0</v>
      </c>
      <c r="R18" s="8">
        <v>4</v>
      </c>
      <c r="S18" s="5">
        <v>0</v>
      </c>
      <c r="T18" s="5">
        <v>0</v>
      </c>
      <c r="U18" s="9">
        <v>117</v>
      </c>
      <c r="V18" s="10">
        <v>129</v>
      </c>
      <c r="W18" s="11">
        <v>-0.21979999542236328</v>
      </c>
      <c r="X18" s="4">
        <v>-0.11590000152587891</v>
      </c>
      <c r="Y18" s="4">
        <v>0.82169998168945313</v>
      </c>
      <c r="Z18" s="4">
        <v>4.3400001525878903E-2</v>
      </c>
      <c r="AA18" s="4">
        <v>0.10859999656677247</v>
      </c>
      <c r="AB18" s="4">
        <v>2.6300001144409179E-2</v>
      </c>
      <c r="AC18" s="4">
        <v>0.81800003051757808</v>
      </c>
      <c r="AD18" s="4">
        <v>0.01</v>
      </c>
      <c r="AE18" s="4">
        <v>0</v>
      </c>
      <c r="AF18" s="4">
        <v>8.2600002288818364E-2</v>
      </c>
      <c r="AG18" s="4">
        <v>0</v>
      </c>
      <c r="AH18" s="4">
        <v>0</v>
      </c>
      <c r="AI18" s="4">
        <v>0</v>
      </c>
      <c r="AJ18" s="4">
        <v>5.5700001716613767E-2</v>
      </c>
      <c r="AK18" s="4">
        <v>2.4800000190734865E-2</v>
      </c>
      <c r="AL18" s="4">
        <v>8.7999999523162842E-3</v>
      </c>
      <c r="AM18" s="4">
        <v>0</v>
      </c>
      <c r="AN18" s="12">
        <v>0</v>
      </c>
      <c r="AO18" s="13">
        <v>46322</v>
      </c>
    </row>
    <row r="19" spans="1:41" x14ac:dyDescent="0.3">
      <c r="A19" s="3" t="s">
        <v>47</v>
      </c>
      <c r="B19" s="3" t="s">
        <v>48</v>
      </c>
      <c r="C19" s="4">
        <v>0.1534000015258789</v>
      </c>
      <c r="D19" s="4">
        <v>0.22840000152587892</v>
      </c>
      <c r="E19" s="15">
        <v>0.13960000038146972</v>
      </c>
      <c r="G19" s="5">
        <v>77</v>
      </c>
      <c r="H19" s="5">
        <v>10.520000457763672</v>
      </c>
      <c r="I19" s="5">
        <v>1.0199999809265137</v>
      </c>
      <c r="J19" s="5">
        <v>13.609999656677246</v>
      </c>
      <c r="K19" s="5">
        <v>0.99</v>
      </c>
      <c r="L19" s="6">
        <v>202</v>
      </c>
      <c r="M19" s="7" t="s">
        <v>49</v>
      </c>
      <c r="N19" s="6">
        <v>2021</v>
      </c>
      <c r="O19" s="3" t="s">
        <v>50</v>
      </c>
      <c r="P19" s="4">
        <v>0.93639999389648443</v>
      </c>
      <c r="Q19" s="4">
        <v>0</v>
      </c>
      <c r="R19" s="8">
        <v>5</v>
      </c>
      <c r="S19" s="5">
        <v>8.1999998092651367</v>
      </c>
      <c r="T19" s="5">
        <v>0.73000001907348633</v>
      </c>
      <c r="U19" s="10">
        <v>88</v>
      </c>
      <c r="V19" s="9">
        <v>35</v>
      </c>
      <c r="W19" s="14">
        <v>-6.5300002098083496E-2</v>
      </c>
      <c r="X19" s="4">
        <v>-0.11140000343322753</v>
      </c>
      <c r="Y19" s="4">
        <v>0.10859999656677247</v>
      </c>
      <c r="Z19" s="4">
        <v>0.68519996643066405</v>
      </c>
      <c r="AA19" s="4">
        <v>2.75E-2</v>
      </c>
      <c r="AB19" s="4">
        <v>0.17879999160766602</v>
      </c>
      <c r="AC19" s="4">
        <v>4.0300002098083494E-2</v>
      </c>
      <c r="AD19" s="4">
        <v>0.10170000076293945</v>
      </c>
      <c r="AE19" s="4">
        <v>0.10300000190734863</v>
      </c>
      <c r="AF19" s="4">
        <v>0.12260000228881836</v>
      </c>
      <c r="AG19" s="4">
        <v>0</v>
      </c>
      <c r="AH19" s="4">
        <v>1.190000057220459E-2</v>
      </c>
      <c r="AI19" s="4">
        <v>0.23190000534057617</v>
      </c>
      <c r="AJ19" s="4">
        <v>0.25299999237060544</v>
      </c>
      <c r="AK19" s="4">
        <v>0.12140000343322754</v>
      </c>
      <c r="AL19" s="4">
        <v>1.4299999475479126E-2</v>
      </c>
      <c r="AM19" s="4">
        <v>0</v>
      </c>
      <c r="AN19" s="12">
        <v>3.3508535474538803E-2</v>
      </c>
      <c r="AO19" s="13">
        <v>46322</v>
      </c>
    </row>
    <row r="20" spans="1:41" x14ac:dyDescent="0.3">
      <c r="A20" s="3" t="s">
        <v>405</v>
      </c>
      <c r="B20" s="3" t="s">
        <v>406</v>
      </c>
      <c r="C20" s="4">
        <v>0.18719999313354493</v>
      </c>
      <c r="D20" s="4">
        <v>0.20719999313354492</v>
      </c>
      <c r="E20" s="4">
        <v>0.1381999969482422</v>
      </c>
      <c r="F20" s="4">
        <v>0.10470000267028809</v>
      </c>
      <c r="G20" s="5">
        <v>56</v>
      </c>
      <c r="H20" s="5">
        <v>8.5</v>
      </c>
      <c r="I20" s="5">
        <v>0.75999999046325684</v>
      </c>
      <c r="J20" s="5">
        <v>12.409999847412109</v>
      </c>
      <c r="K20" s="5">
        <v>1.37</v>
      </c>
      <c r="L20" s="6">
        <v>875</v>
      </c>
      <c r="M20" s="7" t="s">
        <v>407</v>
      </c>
      <c r="N20" s="6">
        <v>2010</v>
      </c>
      <c r="O20" s="3" t="s">
        <v>408</v>
      </c>
      <c r="P20" s="4">
        <v>0.90379997253417965</v>
      </c>
      <c r="Q20" s="4">
        <v>3.4000000357627871E-3</v>
      </c>
      <c r="R20" s="8">
        <v>5</v>
      </c>
      <c r="S20" s="5">
        <v>6.869999885559082</v>
      </c>
      <c r="T20" s="5">
        <v>0.86000001430511475</v>
      </c>
      <c r="U20" s="9">
        <v>110</v>
      </c>
      <c r="V20" s="9">
        <v>74</v>
      </c>
      <c r="W20" s="14">
        <v>-0.10140000343322754</v>
      </c>
      <c r="X20" s="4">
        <v>-0.24219999313354493</v>
      </c>
      <c r="Y20" s="4">
        <v>1.8099999427795409E-2</v>
      </c>
      <c r="Z20" s="4">
        <v>0.10569999694824218</v>
      </c>
      <c r="AA20" s="4">
        <v>0</v>
      </c>
      <c r="AB20" s="4">
        <v>0.87629997253417968</v>
      </c>
      <c r="AC20" s="4">
        <v>6.3299999237060547E-2</v>
      </c>
      <c r="AD20" s="4">
        <v>3.490000009536743E-2</v>
      </c>
      <c r="AE20" s="4">
        <v>0.40970001220703123</v>
      </c>
      <c r="AF20" s="4">
        <v>1.9600000381469727E-2</v>
      </c>
      <c r="AG20" s="4">
        <v>7.1799998283386235E-2</v>
      </c>
      <c r="AH20" s="4">
        <v>6.6000002622604373E-3</v>
      </c>
      <c r="AI20" s="4">
        <v>0.12289999961853028</v>
      </c>
      <c r="AJ20" s="4">
        <v>1.2999999523162841E-2</v>
      </c>
      <c r="AK20" s="4">
        <v>0.11270000457763672</v>
      </c>
      <c r="AL20" s="4">
        <v>0.14039999961853028</v>
      </c>
      <c r="AM20" s="4">
        <v>5.0999999046325685E-3</v>
      </c>
      <c r="AN20" s="12">
        <v>0</v>
      </c>
      <c r="AO20" s="13">
        <v>46322</v>
      </c>
    </row>
    <row r="21" spans="1:41" x14ac:dyDescent="0.3">
      <c r="A21" s="3" t="s">
        <v>330</v>
      </c>
      <c r="B21" s="3" t="s">
        <v>323</v>
      </c>
      <c r="C21" s="4">
        <v>0.13260000228881835</v>
      </c>
      <c r="D21" s="4">
        <v>0.2331999969482422</v>
      </c>
      <c r="E21" s="4">
        <v>0.13760000228881836</v>
      </c>
      <c r="G21" s="5">
        <v>67</v>
      </c>
      <c r="H21" s="5">
        <v>13.689999580383301</v>
      </c>
      <c r="I21" s="5">
        <v>0.93000000715255737</v>
      </c>
      <c r="J21" s="5">
        <v>14.119999885559082</v>
      </c>
      <c r="K21" s="5">
        <v>1.07</v>
      </c>
      <c r="L21" s="6">
        <v>43</v>
      </c>
      <c r="M21" s="7" t="s">
        <v>841</v>
      </c>
      <c r="N21" s="6">
        <v>2022</v>
      </c>
      <c r="O21" s="3" t="s">
        <v>331</v>
      </c>
      <c r="P21" s="4">
        <v>1.0238999938964843</v>
      </c>
      <c r="Q21" s="4">
        <v>0</v>
      </c>
      <c r="R21" s="8">
        <v>5</v>
      </c>
      <c r="S21" s="5">
        <v>5.619999885559082</v>
      </c>
      <c r="T21" s="5">
        <v>0.89999997615814209</v>
      </c>
      <c r="U21" s="9">
        <v>103</v>
      </c>
      <c r="V21" s="9">
        <v>72</v>
      </c>
      <c r="W21" s="14">
        <v>-0.18329999923706056</v>
      </c>
      <c r="X21" s="4">
        <v>-0.20540000915527343</v>
      </c>
      <c r="Y21" s="4">
        <v>0.23979999542236327</v>
      </c>
      <c r="Z21" s="4">
        <v>0.68879997253417968</v>
      </c>
      <c r="AA21" s="4">
        <v>8.3999997377395622E-3</v>
      </c>
      <c r="AB21" s="4">
        <v>6.3000001907348627E-2</v>
      </c>
      <c r="AC21" s="4">
        <v>0.15689999580383301</v>
      </c>
      <c r="AD21" s="4">
        <v>6.5500001907348629E-2</v>
      </c>
      <c r="AE21" s="4">
        <v>0.20180000305175783</v>
      </c>
      <c r="AF21" s="4">
        <v>9.7000002861022949E-3</v>
      </c>
      <c r="AG21" s="4">
        <v>0.18549999237060547</v>
      </c>
      <c r="AH21" s="4">
        <v>5.0000000000000001E-3</v>
      </c>
      <c r="AI21" s="4">
        <v>1.909999966621399E-2</v>
      </c>
      <c r="AJ21" s="4">
        <v>2.8699998855590821E-2</v>
      </c>
      <c r="AK21" s="4">
        <v>0.28340000152587891</v>
      </c>
      <c r="AL21" s="4">
        <v>2.9999999329447744E-4</v>
      </c>
      <c r="AM21" s="4">
        <v>4.4200000762939451E-2</v>
      </c>
      <c r="AN21" s="12">
        <v>0</v>
      </c>
      <c r="AO21" s="13">
        <v>46322</v>
      </c>
    </row>
    <row r="22" spans="1:41" x14ac:dyDescent="0.3">
      <c r="A22" s="3" t="s">
        <v>51</v>
      </c>
      <c r="B22" s="3" t="s">
        <v>48</v>
      </c>
      <c r="C22" s="4">
        <v>0.16780000686645508</v>
      </c>
      <c r="D22" s="4">
        <v>0.11689999580383301</v>
      </c>
      <c r="E22" s="4">
        <v>0.13670000076293945</v>
      </c>
      <c r="G22" s="5">
        <v>69</v>
      </c>
      <c r="H22" s="5">
        <v>4.3299999237060547</v>
      </c>
      <c r="I22" s="5">
        <v>0.61000001430511475</v>
      </c>
      <c r="J22" s="5">
        <v>12.819999694824219</v>
      </c>
      <c r="K22" s="5">
        <v>1.95</v>
      </c>
      <c r="L22" s="6">
        <v>245</v>
      </c>
      <c r="M22" s="7" t="s">
        <v>52</v>
      </c>
      <c r="N22" s="6">
        <v>2025</v>
      </c>
      <c r="O22" s="3" t="s">
        <v>53</v>
      </c>
      <c r="P22" s="4">
        <v>0.91370002746582035</v>
      </c>
      <c r="Q22" s="4">
        <v>0</v>
      </c>
      <c r="R22" s="8">
        <v>4</v>
      </c>
      <c r="S22" s="5">
        <v>6.9600000381469727</v>
      </c>
      <c r="T22" s="5">
        <v>0.69999998807907104</v>
      </c>
      <c r="U22" s="10">
        <v>90</v>
      </c>
      <c r="V22" s="9">
        <v>58</v>
      </c>
      <c r="W22" s="14">
        <v>-8.2100000381469723E-2</v>
      </c>
      <c r="X22" s="4">
        <v>-0.31540000915527344</v>
      </c>
      <c r="Y22" s="4">
        <v>0.21379999160766602</v>
      </c>
      <c r="Z22" s="4">
        <v>0.14159999847412108</v>
      </c>
      <c r="AA22" s="4">
        <v>0.3153000068664551</v>
      </c>
      <c r="AB22" s="4">
        <v>0.32939998626708983</v>
      </c>
      <c r="AC22" s="4">
        <v>4.5900001525878906E-2</v>
      </c>
      <c r="AD22" s="4">
        <v>0</v>
      </c>
      <c r="AE22" s="4">
        <v>3.8900001049041746E-2</v>
      </c>
      <c r="AF22" s="4">
        <v>9.3999996185302734E-2</v>
      </c>
      <c r="AG22" s="4">
        <v>9.1300001144409185E-2</v>
      </c>
      <c r="AH22" s="4">
        <v>0.18049999237060546</v>
      </c>
      <c r="AI22" s="4">
        <v>1.7300000190734865E-2</v>
      </c>
      <c r="AJ22" s="4">
        <v>0.26090000152587889</v>
      </c>
      <c r="AK22" s="4">
        <v>0.19340000152587891</v>
      </c>
      <c r="AL22" s="4">
        <v>5.0399999618530276E-2</v>
      </c>
      <c r="AM22" s="4">
        <v>2.7200000286102297E-2</v>
      </c>
      <c r="AN22" s="12">
        <v>4.8215597867965698E-2</v>
      </c>
      <c r="AO22" s="13">
        <v>46322</v>
      </c>
    </row>
    <row r="23" spans="1:41" x14ac:dyDescent="0.3">
      <c r="A23" s="3" t="s">
        <v>54</v>
      </c>
      <c r="B23" s="3" t="s">
        <v>41</v>
      </c>
      <c r="C23" s="4">
        <v>0.18079999923706055</v>
      </c>
      <c r="D23" s="4">
        <v>0.19739999771118164</v>
      </c>
      <c r="E23" s="4">
        <v>0.1356999969482422</v>
      </c>
      <c r="F23" s="4">
        <v>0.10960000038146972</v>
      </c>
      <c r="G23" s="5">
        <v>56</v>
      </c>
      <c r="H23" s="5">
        <v>11.369999885559082</v>
      </c>
      <c r="I23" s="5">
        <v>0.56000000238418579</v>
      </c>
      <c r="J23" s="5">
        <v>12.550000190734863</v>
      </c>
      <c r="K23" s="5">
        <v>0.88</v>
      </c>
      <c r="L23" s="6">
        <v>488</v>
      </c>
      <c r="M23" s="7" t="s">
        <v>55</v>
      </c>
      <c r="N23" s="6">
        <v>2005</v>
      </c>
      <c r="O23" s="3" t="s">
        <v>56</v>
      </c>
      <c r="P23" s="4">
        <v>0.98690002441406255</v>
      </c>
      <c r="Q23" s="4">
        <v>0</v>
      </c>
      <c r="R23" s="8">
        <v>3</v>
      </c>
      <c r="S23" s="5">
        <v>-0.33000001311302185</v>
      </c>
      <c r="T23" s="5">
        <v>1.0700000524520874</v>
      </c>
      <c r="U23" s="9">
        <v>102</v>
      </c>
      <c r="V23" s="10">
        <v>119</v>
      </c>
      <c r="W23" s="11">
        <v>-0.11100000381469727</v>
      </c>
      <c r="X23" s="4">
        <v>-7.4800000190734864E-2</v>
      </c>
      <c r="Y23" s="4">
        <v>0.45979999542236327</v>
      </c>
      <c r="Z23" s="4">
        <v>0.32740001678466796</v>
      </c>
      <c r="AA23" s="4">
        <v>8.8999996185302729E-2</v>
      </c>
      <c r="AB23" s="4">
        <v>0.12390000343322755</v>
      </c>
      <c r="AC23" s="4">
        <v>0.15119999885559082</v>
      </c>
      <c r="AD23" s="4">
        <v>0.22770000457763673</v>
      </c>
      <c r="AE23" s="4">
        <v>0.21520000457763672</v>
      </c>
      <c r="AF23" s="4">
        <v>6.8499999046325685E-2</v>
      </c>
      <c r="AG23" s="4">
        <v>2.2799999713897706E-2</v>
      </c>
      <c r="AH23" s="4">
        <v>8.5200004577636712E-2</v>
      </c>
      <c r="AI23" s="4">
        <v>5.5500001907348634E-2</v>
      </c>
      <c r="AJ23" s="4">
        <v>7.6799998283386225E-2</v>
      </c>
      <c r="AK23" s="4">
        <v>7.8800001144409174E-2</v>
      </c>
      <c r="AL23" s="4">
        <v>6.8999999761581417E-3</v>
      </c>
      <c r="AM23" s="4">
        <v>1.1399999856948853E-2</v>
      </c>
      <c r="AN23" s="12">
        <v>0</v>
      </c>
      <c r="AO23" s="13">
        <v>46322</v>
      </c>
    </row>
    <row r="24" spans="1:41" x14ac:dyDescent="0.3">
      <c r="A24" s="3" t="s">
        <v>332</v>
      </c>
      <c r="B24" s="3" t="s">
        <v>323</v>
      </c>
      <c r="C24" s="4">
        <v>0.17379999160766602</v>
      </c>
      <c r="D24" s="4">
        <v>0.21629999160766603</v>
      </c>
      <c r="E24" s="4">
        <v>0.13350000381469726</v>
      </c>
      <c r="F24" s="4">
        <v>0.10960000038146972</v>
      </c>
      <c r="G24" s="5">
        <v>60</v>
      </c>
      <c r="H24" s="5">
        <v>12.829999923706055</v>
      </c>
      <c r="I24" s="5">
        <v>1.0299999713897705</v>
      </c>
      <c r="J24" s="5">
        <v>12.180000305175781</v>
      </c>
      <c r="K24" s="5">
        <v>0.99</v>
      </c>
      <c r="L24" s="6">
        <v>7100</v>
      </c>
      <c r="M24" s="7" t="s">
        <v>333</v>
      </c>
      <c r="N24" s="6">
        <v>2007</v>
      </c>
      <c r="O24" s="3" t="s">
        <v>334</v>
      </c>
      <c r="P24" s="4">
        <v>0.63599998474121089</v>
      </c>
      <c r="Q24" s="4">
        <v>1.0900000333786011E-2</v>
      </c>
      <c r="R24" s="8">
        <v>5</v>
      </c>
      <c r="S24" s="5">
        <v>4.8600001335144043</v>
      </c>
      <c r="T24" s="5">
        <v>0.92000001668930054</v>
      </c>
      <c r="U24" s="9">
        <v>111</v>
      </c>
      <c r="V24" s="9">
        <v>71</v>
      </c>
      <c r="W24" s="14">
        <v>-6.1199998855590819E-2</v>
      </c>
      <c r="X24" s="4">
        <v>-8.1199998855590816E-2</v>
      </c>
      <c r="Y24" s="4">
        <v>1.8700000047683716E-2</v>
      </c>
      <c r="Z24" s="4">
        <v>0.97370002746582029</v>
      </c>
      <c r="AA24" s="4">
        <v>2.0999999344348905E-3</v>
      </c>
      <c r="AB24" s="4">
        <v>5.6000000238418581E-3</v>
      </c>
      <c r="AC24" s="4">
        <v>0.12640000343322755</v>
      </c>
      <c r="AD24" s="4">
        <v>8.3999996185302739E-2</v>
      </c>
      <c r="AE24" s="4">
        <v>0.25799999237060545</v>
      </c>
      <c r="AF24" s="4">
        <v>4.4499998092651365E-2</v>
      </c>
      <c r="AG24" s="4">
        <v>3.950000047683716E-2</v>
      </c>
      <c r="AH24" s="4">
        <v>6.7100000381469724E-2</v>
      </c>
      <c r="AI24" s="4">
        <v>4.5300002098083499E-2</v>
      </c>
      <c r="AJ24" s="4">
        <v>5.7500000000000002E-2</v>
      </c>
      <c r="AK24" s="4">
        <v>0.23799999237060546</v>
      </c>
      <c r="AL24" s="4">
        <v>3.3000001311302186E-3</v>
      </c>
      <c r="AM24" s="4">
        <v>3.6400001049041751E-2</v>
      </c>
      <c r="AN24" s="12">
        <v>0</v>
      </c>
      <c r="AO24" s="13">
        <v>46322</v>
      </c>
    </row>
    <row r="25" spans="1:41" x14ac:dyDescent="0.3">
      <c r="A25" s="3" t="s">
        <v>57</v>
      </c>
      <c r="B25" s="3" t="s">
        <v>58</v>
      </c>
      <c r="C25" s="4">
        <v>0.21290000915527343</v>
      </c>
      <c r="D25" s="4">
        <v>0.21870000839233397</v>
      </c>
      <c r="E25" s="4">
        <v>0.13329999923706054</v>
      </c>
      <c r="F25" s="4">
        <v>0.13600000381469726</v>
      </c>
      <c r="G25" s="5">
        <v>57</v>
      </c>
      <c r="H25" s="5">
        <v>18.260000228881836</v>
      </c>
      <c r="I25" s="5">
        <v>0.64999997615814209</v>
      </c>
      <c r="J25" s="5">
        <v>13.010000228881836</v>
      </c>
      <c r="K25" s="5">
        <v>0.86</v>
      </c>
      <c r="L25" s="6">
        <v>4200</v>
      </c>
      <c r="M25" s="7" t="s">
        <v>59</v>
      </c>
      <c r="N25" s="6">
        <v>2006</v>
      </c>
      <c r="O25" s="3" t="s">
        <v>60</v>
      </c>
      <c r="P25" s="4">
        <v>0.98849998474121092</v>
      </c>
      <c r="Q25" s="4">
        <v>1.9999999552965163E-4</v>
      </c>
      <c r="R25" s="8">
        <v>5</v>
      </c>
      <c r="S25" s="5">
        <v>2.1700000762939453</v>
      </c>
      <c r="T25" s="5">
        <v>0.99000000953674316</v>
      </c>
      <c r="U25" s="9">
        <v>107</v>
      </c>
      <c r="V25" s="9">
        <v>98</v>
      </c>
      <c r="W25" s="14">
        <v>-0.13899999618530273</v>
      </c>
      <c r="X25" s="4">
        <v>-0.27229999542236327</v>
      </c>
      <c r="Y25" s="4">
        <v>0.79430000305175785</v>
      </c>
      <c r="Z25" s="4">
        <v>0.14489999771118164</v>
      </c>
      <c r="AA25" s="4">
        <v>6.0100002288818358E-2</v>
      </c>
      <c r="AB25" s="4">
        <v>7.9999998211860652E-4</v>
      </c>
      <c r="AC25" s="4">
        <v>0.33490001678466796</v>
      </c>
      <c r="AD25" s="4">
        <v>0.12800000190734864</v>
      </c>
      <c r="AE25" s="4">
        <v>0.12010000228881836</v>
      </c>
      <c r="AF25" s="4">
        <v>7.0999999046325687E-2</v>
      </c>
      <c r="AG25" s="4">
        <v>4.1900000572204589E-2</v>
      </c>
      <c r="AH25" s="4">
        <v>4.5500001907348632E-2</v>
      </c>
      <c r="AI25" s="4">
        <v>4.4000000953674318E-2</v>
      </c>
      <c r="AJ25" s="4">
        <v>4.5599999427795412E-2</v>
      </c>
      <c r="AK25" s="4">
        <v>0.12819999694824219</v>
      </c>
      <c r="AL25" s="4">
        <v>1.5700000524520873E-2</v>
      </c>
      <c r="AM25" s="4">
        <v>2.5000000000000001E-2</v>
      </c>
      <c r="AN25" s="12">
        <v>0</v>
      </c>
      <c r="AO25" s="13">
        <v>46322</v>
      </c>
    </row>
    <row r="26" spans="1:41" x14ac:dyDescent="0.3">
      <c r="A26" s="3" t="s">
        <v>335</v>
      </c>
      <c r="B26" s="3" t="s">
        <v>320</v>
      </c>
      <c r="C26" s="4">
        <v>5.1700000762939451E-2</v>
      </c>
      <c r="D26" s="4">
        <v>0.16540000915527345</v>
      </c>
      <c r="E26" s="4">
        <v>0.13300000190734862</v>
      </c>
      <c r="G26" s="5">
        <v>79</v>
      </c>
      <c r="H26" s="5">
        <v>11.310000419616699</v>
      </c>
      <c r="I26" s="5">
        <v>0.6600000262260437</v>
      </c>
      <c r="J26" s="5">
        <v>18.559999465942383</v>
      </c>
      <c r="K26" s="5">
        <v>1</v>
      </c>
      <c r="L26" s="6">
        <v>502</v>
      </c>
      <c r="M26" s="7" t="s">
        <v>336</v>
      </c>
      <c r="N26" s="6">
        <v>2022</v>
      </c>
      <c r="O26" s="3" t="s">
        <v>337</v>
      </c>
      <c r="P26" s="4">
        <v>0.99800003051757813</v>
      </c>
      <c r="Q26" s="4">
        <v>0</v>
      </c>
      <c r="R26" s="8">
        <v>4</v>
      </c>
      <c r="S26" s="5">
        <v>2.8199999332427979</v>
      </c>
      <c r="T26" s="5">
        <v>1.0499999523162842</v>
      </c>
      <c r="U26" s="10">
        <v>96</v>
      </c>
      <c r="V26" s="10">
        <v>138</v>
      </c>
      <c r="W26" s="11">
        <v>-0.11789999961853027</v>
      </c>
      <c r="X26" s="4">
        <v>-7.6599998474121092E-2</v>
      </c>
      <c r="Y26" s="4">
        <v>0</v>
      </c>
      <c r="Z26" s="4">
        <v>1</v>
      </c>
      <c r="AA26" s="4">
        <v>0</v>
      </c>
      <c r="AB26" s="4">
        <v>0</v>
      </c>
      <c r="AC26" s="4">
        <v>4.5900001525878906E-2</v>
      </c>
      <c r="AD26" s="4">
        <v>0.11779999732971191</v>
      </c>
      <c r="AE26" s="4">
        <v>3.1600000858306887E-2</v>
      </c>
      <c r="AF26" s="4">
        <v>3.4800000190734863E-2</v>
      </c>
      <c r="AG26" s="4">
        <v>9.279999732971192E-2</v>
      </c>
      <c r="AH26" s="4">
        <v>0.14020000457763671</v>
      </c>
      <c r="AI26" s="4">
        <v>0</v>
      </c>
      <c r="AJ26" s="4">
        <v>0.39060001373291015</v>
      </c>
      <c r="AK26" s="4">
        <v>9.9600000381469725E-2</v>
      </c>
      <c r="AL26" s="4">
        <v>4.6700000762939453E-2</v>
      </c>
      <c r="AM26" s="4">
        <v>0</v>
      </c>
      <c r="AN26" s="12">
        <v>0</v>
      </c>
      <c r="AO26" s="13">
        <v>46322</v>
      </c>
    </row>
    <row r="27" spans="1:41" x14ac:dyDescent="0.3">
      <c r="A27" s="3" t="s">
        <v>61</v>
      </c>
      <c r="B27" s="3" t="s">
        <v>41</v>
      </c>
      <c r="C27" s="4">
        <v>0.21139999389648437</v>
      </c>
      <c r="D27" s="4">
        <v>0.20850000381469727</v>
      </c>
      <c r="E27" s="4">
        <v>0.13229999542236329</v>
      </c>
      <c r="F27" s="4">
        <v>0.11279999732971191</v>
      </c>
      <c r="G27" s="5">
        <v>55</v>
      </c>
      <c r="H27" s="5">
        <v>11.970000267028809</v>
      </c>
      <c r="I27" s="5">
        <v>0.5899999737739563</v>
      </c>
      <c r="J27" s="5">
        <v>11.430000305175781</v>
      </c>
      <c r="K27" s="5">
        <v>0.9</v>
      </c>
      <c r="L27" s="6">
        <v>6600</v>
      </c>
      <c r="M27" s="7" t="s">
        <v>62</v>
      </c>
      <c r="N27" s="6">
        <v>2011</v>
      </c>
      <c r="O27" s="3" t="s">
        <v>63</v>
      </c>
      <c r="P27" s="4">
        <v>0.93029998779296874</v>
      </c>
      <c r="Q27" s="4">
        <v>0</v>
      </c>
      <c r="R27" s="8">
        <v>4</v>
      </c>
      <c r="S27" s="5">
        <v>0.18000000715255737</v>
      </c>
      <c r="T27" s="5">
        <v>0.98000001907348633</v>
      </c>
      <c r="U27" s="10">
        <v>96</v>
      </c>
      <c r="V27" s="9">
        <v>93</v>
      </c>
      <c r="W27" s="14">
        <v>-0.12409999847412109</v>
      </c>
      <c r="X27" s="4">
        <v>-0.22590000152587891</v>
      </c>
      <c r="Y27" s="4">
        <v>0.49259998321533205</v>
      </c>
      <c r="Z27" s="4">
        <v>0.44840000152587889</v>
      </c>
      <c r="AA27" s="4">
        <v>5.9000000953674317E-2</v>
      </c>
      <c r="AB27" s="4">
        <v>0</v>
      </c>
      <c r="AC27" s="4">
        <v>5.9000000953674317E-2</v>
      </c>
      <c r="AD27" s="4">
        <v>0.15199999809265136</v>
      </c>
      <c r="AE27" s="4">
        <v>0.35180000305175779</v>
      </c>
      <c r="AF27" s="4">
        <v>0.11770000457763671</v>
      </c>
      <c r="AG27" s="4">
        <v>0.05</v>
      </c>
      <c r="AH27" s="4">
        <v>9.4799995422363281E-2</v>
      </c>
      <c r="AI27" s="4">
        <v>5.2699999809265138E-2</v>
      </c>
      <c r="AJ27" s="4">
        <v>5.2300000190734865E-2</v>
      </c>
      <c r="AK27" s="4">
        <v>6.9699997901916499E-2</v>
      </c>
      <c r="AL27" s="4">
        <v>0</v>
      </c>
      <c r="AM27" s="4">
        <v>0</v>
      </c>
      <c r="AN27" s="12">
        <v>3.6834480706602335E-3</v>
      </c>
      <c r="AO27" s="13">
        <v>46322</v>
      </c>
    </row>
    <row r="28" spans="1:41" x14ac:dyDescent="0.3">
      <c r="A28" s="3" t="s">
        <v>409</v>
      </c>
      <c r="B28" s="3" t="s">
        <v>410</v>
      </c>
      <c r="C28" s="4">
        <v>0.25750000000000001</v>
      </c>
      <c r="D28" s="4">
        <v>0.23100000381469726</v>
      </c>
      <c r="E28" s="4">
        <v>0.13130000114440918</v>
      </c>
      <c r="F28" s="4">
        <v>9.8500003814697271E-2</v>
      </c>
      <c r="G28" s="5">
        <v>60</v>
      </c>
      <c r="H28" s="5">
        <v>11.130000114440918</v>
      </c>
      <c r="I28" s="5">
        <v>0.62000000476837158</v>
      </c>
      <c r="J28" s="5">
        <v>13.970000267028809</v>
      </c>
      <c r="K28" s="5">
        <v>0.97</v>
      </c>
      <c r="L28" s="6">
        <v>2000</v>
      </c>
      <c r="M28" s="7" t="s">
        <v>411</v>
      </c>
      <c r="N28" s="6">
        <v>2022</v>
      </c>
      <c r="O28" s="3" t="s">
        <v>412</v>
      </c>
      <c r="P28" s="4">
        <v>0.89510002136230471</v>
      </c>
      <c r="Q28" s="4">
        <v>3.6000001430511477E-3</v>
      </c>
      <c r="R28" s="8">
        <v>5</v>
      </c>
      <c r="S28" s="5">
        <v>4.9200000762939453</v>
      </c>
      <c r="T28" s="5">
        <v>0.93000000715255737</v>
      </c>
      <c r="U28" s="9">
        <v>105</v>
      </c>
      <c r="V28" s="9">
        <v>86</v>
      </c>
      <c r="W28" s="14">
        <v>-8.5399999618530273E-2</v>
      </c>
      <c r="X28" s="4">
        <v>-0.11890000343322754</v>
      </c>
      <c r="Y28" s="4">
        <v>1.0199999809265137E-2</v>
      </c>
      <c r="Z28" s="4">
        <v>5.0000000000000001E-3</v>
      </c>
      <c r="AA28" s="4">
        <v>0.76050003051757809</v>
      </c>
      <c r="AB28" s="4">
        <v>0.22420000076293944</v>
      </c>
      <c r="AC28" s="4">
        <v>0.29549999237060548</v>
      </c>
      <c r="AD28" s="4">
        <v>4.1799998283386229E-2</v>
      </c>
      <c r="AE28" s="4">
        <v>0.246200008392334</v>
      </c>
      <c r="AF28" s="4">
        <v>5.3200001716613772E-2</v>
      </c>
      <c r="AG28" s="4">
        <v>6.650000095367431E-2</v>
      </c>
      <c r="AH28" s="4">
        <v>2.0799999237060548E-2</v>
      </c>
      <c r="AI28" s="4">
        <v>1.6499999761581421E-2</v>
      </c>
      <c r="AJ28" s="4">
        <v>5.3699998855590819E-2</v>
      </c>
      <c r="AK28" s="4">
        <v>0.14810000419616698</v>
      </c>
      <c r="AL28" s="4">
        <v>4.2199997901916503E-2</v>
      </c>
      <c r="AM28" s="4">
        <v>1.559999942779541E-2</v>
      </c>
      <c r="AN28" s="12">
        <v>0</v>
      </c>
      <c r="AO28" s="13">
        <v>46322</v>
      </c>
    </row>
    <row r="29" spans="1:41" x14ac:dyDescent="0.3">
      <c r="A29" s="3" t="s">
        <v>64</v>
      </c>
      <c r="B29" s="3" t="s">
        <v>41</v>
      </c>
      <c r="C29" s="4">
        <v>0.20020000457763673</v>
      </c>
      <c r="D29" s="4">
        <v>0.20100000381469726</v>
      </c>
      <c r="E29" s="4">
        <v>0.13060000419616699</v>
      </c>
      <c r="F29" s="4">
        <v>0.10909999847412109</v>
      </c>
      <c r="G29" s="5">
        <v>60</v>
      </c>
      <c r="H29" s="5">
        <v>13.380000114440918</v>
      </c>
      <c r="I29" s="5">
        <v>0.56000000238418579</v>
      </c>
      <c r="J29" s="5">
        <v>12.199999809265137</v>
      </c>
      <c r="K29" s="5">
        <v>0.81</v>
      </c>
      <c r="L29" s="6">
        <v>9200</v>
      </c>
      <c r="M29" s="7" t="s">
        <v>65</v>
      </c>
      <c r="N29" s="6">
        <v>2005</v>
      </c>
      <c r="O29" s="3" t="s">
        <v>66</v>
      </c>
      <c r="P29" s="4">
        <v>0.99690002441406245</v>
      </c>
      <c r="Q29" s="4">
        <v>0</v>
      </c>
      <c r="R29" s="8">
        <v>3</v>
      </c>
      <c r="S29" s="5">
        <v>-0.34999999403953552</v>
      </c>
      <c r="T29" s="5">
        <v>1.0499999523162842</v>
      </c>
      <c r="U29" s="16">
        <v>100</v>
      </c>
      <c r="V29" s="16">
        <v>100</v>
      </c>
      <c r="W29" s="14">
        <v>-8.8500003814697262E-2</v>
      </c>
      <c r="X29" s="4">
        <v>-0.22590000152587891</v>
      </c>
      <c r="Y29" s="4">
        <v>0.4608000183105469</v>
      </c>
      <c r="Z29" s="4">
        <v>0.46919998168945315</v>
      </c>
      <c r="AA29" s="4">
        <v>7.0000000000000007E-2</v>
      </c>
      <c r="AB29" s="4">
        <v>0</v>
      </c>
      <c r="AC29" s="4">
        <v>9.810000419616699E-2</v>
      </c>
      <c r="AD29" s="4">
        <v>0.15109999656677245</v>
      </c>
      <c r="AE29" s="4">
        <v>0.2680999946594238</v>
      </c>
      <c r="AF29" s="4">
        <v>4.1799998283386229E-2</v>
      </c>
      <c r="AG29" s="4">
        <v>6.5300002098083496E-2</v>
      </c>
      <c r="AH29" s="4">
        <v>7.2699999809265142E-2</v>
      </c>
      <c r="AI29" s="4">
        <v>9.8500003814697271E-2</v>
      </c>
      <c r="AJ29" s="4">
        <v>6.3899998664855961E-2</v>
      </c>
      <c r="AK29" s="4">
        <v>0.1290999984741211</v>
      </c>
      <c r="AL29" s="4">
        <v>0</v>
      </c>
      <c r="AM29" s="4">
        <v>1.1299999952316285E-2</v>
      </c>
      <c r="AN29" s="12">
        <v>0</v>
      </c>
      <c r="AO29" s="13">
        <v>46322</v>
      </c>
    </row>
    <row r="30" spans="1:41" x14ac:dyDescent="0.3">
      <c r="A30" s="3" t="s">
        <v>413</v>
      </c>
      <c r="B30" s="3" t="s">
        <v>414</v>
      </c>
      <c r="C30" s="4">
        <v>0.11319999694824219</v>
      </c>
      <c r="D30" s="4">
        <v>0.14899999618530274</v>
      </c>
      <c r="E30" s="4">
        <v>0.12939999580383302</v>
      </c>
      <c r="G30" s="5">
        <v>80</v>
      </c>
      <c r="H30" s="5">
        <v>12.020000457763672</v>
      </c>
      <c r="I30" s="5">
        <v>1.7200000286102295</v>
      </c>
      <c r="J30" s="5">
        <v>4.690000057220459</v>
      </c>
      <c r="K30" s="5">
        <v>1.44</v>
      </c>
      <c r="L30" s="6">
        <v>2400</v>
      </c>
      <c r="M30" s="7" t="s">
        <v>415</v>
      </c>
      <c r="N30" s="6">
        <v>2017</v>
      </c>
      <c r="O30" s="3" t="s">
        <v>416</v>
      </c>
      <c r="P30" s="4">
        <v>9.800000190734863E-2</v>
      </c>
      <c r="Q30" s="4">
        <v>0.10220000267028809</v>
      </c>
      <c r="R30" s="8">
        <v>5</v>
      </c>
      <c r="S30" s="5">
        <v>7.809999942779541</v>
      </c>
      <c r="T30" s="5">
        <v>9.9999997764825821E-3</v>
      </c>
      <c r="U30" s="10">
        <v>72</v>
      </c>
      <c r="V30" s="9">
        <v>-42</v>
      </c>
      <c r="W30" s="11">
        <v>-0.06</v>
      </c>
      <c r="X30" s="4">
        <v>-1.1200000047683716E-2</v>
      </c>
      <c r="Y30" s="4">
        <v>5.799999833106995E-3</v>
      </c>
      <c r="Z30" s="4">
        <v>2.8999999165534975E-3</v>
      </c>
      <c r="AA30" s="4">
        <v>0.63619998931884769</v>
      </c>
      <c r="AB30" s="4">
        <v>0.35439998626708985</v>
      </c>
      <c r="AC30" s="4">
        <v>0.16090000152587891</v>
      </c>
      <c r="AD30" s="4">
        <v>8.619999885559082E-2</v>
      </c>
      <c r="AE30" s="4">
        <v>0.145600004196167</v>
      </c>
      <c r="AF30" s="4">
        <v>5.070000171661377E-2</v>
      </c>
      <c r="AG30" s="4">
        <v>8.1999998092651363E-2</v>
      </c>
      <c r="AH30" s="4">
        <v>6.9899997711181647E-2</v>
      </c>
      <c r="AI30" s="4">
        <v>2.1400001049041748E-2</v>
      </c>
      <c r="AJ30" s="4">
        <v>0.11090000152587891</v>
      </c>
      <c r="AK30" s="4">
        <v>0.18909999847412109</v>
      </c>
      <c r="AL30" s="4">
        <v>6.590000152587891E-2</v>
      </c>
      <c r="AM30" s="4">
        <v>1.7400000095367432E-2</v>
      </c>
      <c r="AN30" s="12">
        <v>3.2582374842604622E-6</v>
      </c>
      <c r="AO30" s="13">
        <v>46322</v>
      </c>
    </row>
    <row r="31" spans="1:41" x14ac:dyDescent="0.3">
      <c r="A31" s="3" t="s">
        <v>67</v>
      </c>
      <c r="B31" s="3" t="s">
        <v>68</v>
      </c>
      <c r="C31" s="4">
        <v>0.20440000534057617</v>
      </c>
      <c r="D31" s="4">
        <v>0.22579999923706054</v>
      </c>
      <c r="E31" s="4">
        <v>0.1290999984741211</v>
      </c>
      <c r="G31" s="5">
        <v>69</v>
      </c>
      <c r="H31" s="5">
        <v>20.739999771118164</v>
      </c>
      <c r="I31" s="5">
        <v>0.57999998331069946</v>
      </c>
      <c r="J31" s="5">
        <v>16.059999465942383</v>
      </c>
      <c r="K31" s="5">
        <v>0.9</v>
      </c>
      <c r="L31" s="6">
        <v>900</v>
      </c>
      <c r="M31" s="7" t="s">
        <v>59</v>
      </c>
      <c r="N31" s="6">
        <v>2018</v>
      </c>
      <c r="O31" s="3" t="s">
        <v>69</v>
      </c>
      <c r="P31" s="4">
        <v>0.87790000915527344</v>
      </c>
      <c r="Q31" s="4">
        <v>2.7000001072883606E-3</v>
      </c>
      <c r="R31" s="8">
        <v>5</v>
      </c>
      <c r="S31" s="5">
        <v>4.0999999046325684</v>
      </c>
      <c r="T31" s="5">
        <v>0.92000001668930054</v>
      </c>
      <c r="U31" s="9">
        <v>104</v>
      </c>
      <c r="V31" s="9">
        <v>89</v>
      </c>
      <c r="W31" s="14">
        <v>-0.19030000686645507</v>
      </c>
      <c r="X31" s="4">
        <v>-0.3306999969482422</v>
      </c>
      <c r="Y31" s="4">
        <v>0.89410003662109372</v>
      </c>
      <c r="Z31" s="4">
        <v>0.10579999923706054</v>
      </c>
      <c r="AA31" s="4">
        <v>0</v>
      </c>
      <c r="AB31" s="4">
        <v>0</v>
      </c>
      <c r="AC31" s="4">
        <v>0.42080001831054686</v>
      </c>
      <c r="AD31" s="4">
        <v>0.286299991607666</v>
      </c>
      <c r="AE31" s="4">
        <v>0</v>
      </c>
      <c r="AF31" s="4">
        <v>0</v>
      </c>
      <c r="AG31" s="4">
        <v>9.8400001525878911E-2</v>
      </c>
      <c r="AH31" s="4">
        <v>0</v>
      </c>
      <c r="AI31" s="4">
        <v>4.1599998474121096E-2</v>
      </c>
      <c r="AJ31" s="4">
        <v>0</v>
      </c>
      <c r="AK31" s="4">
        <v>0.15289999961853026</v>
      </c>
      <c r="AL31" s="4">
        <v>0</v>
      </c>
      <c r="AM31" s="4">
        <v>0</v>
      </c>
      <c r="AN31" s="12">
        <v>0</v>
      </c>
      <c r="AO31" s="13">
        <v>46322</v>
      </c>
    </row>
    <row r="32" spans="1:41" x14ac:dyDescent="0.3">
      <c r="A32" s="17" t="s">
        <v>272</v>
      </c>
      <c r="B32" s="3" t="s">
        <v>273</v>
      </c>
      <c r="C32" s="4">
        <v>0.18129999160766602</v>
      </c>
      <c r="D32" s="4">
        <v>0.20690000534057618</v>
      </c>
      <c r="E32" s="4">
        <v>0.12789999961853027</v>
      </c>
      <c r="F32" s="4">
        <v>0.14369999885559082</v>
      </c>
      <c r="G32" s="5">
        <v>65</v>
      </c>
      <c r="H32" s="5">
        <v>19.670000076293945</v>
      </c>
      <c r="I32" s="5">
        <v>0.60000002384185791</v>
      </c>
      <c r="J32" s="5">
        <v>14.609999656677246</v>
      </c>
      <c r="K32" s="5">
        <v>0.1</v>
      </c>
      <c r="L32" s="6">
        <v>18800</v>
      </c>
      <c r="M32" s="7" t="s">
        <v>274</v>
      </c>
      <c r="N32" s="6">
        <v>2017</v>
      </c>
      <c r="O32" s="3" t="s">
        <v>275</v>
      </c>
      <c r="P32" s="4">
        <v>1</v>
      </c>
      <c r="Q32" s="4">
        <v>0</v>
      </c>
      <c r="R32" s="8">
        <v>4</v>
      </c>
      <c r="S32" s="5">
        <v>0.4699999988079071</v>
      </c>
      <c r="T32" s="5">
        <v>0.98000001907348633</v>
      </c>
      <c r="U32" s="16">
        <v>100</v>
      </c>
      <c r="V32" s="9">
        <v>97</v>
      </c>
      <c r="W32" s="14">
        <v>-0.15510000228881837</v>
      </c>
      <c r="X32" s="4">
        <v>-0.25190000534057616</v>
      </c>
      <c r="Y32" s="4">
        <v>0.99540000915527349</v>
      </c>
      <c r="Z32" s="4">
        <v>3.1000000238418581E-3</v>
      </c>
      <c r="AA32" s="4">
        <v>0</v>
      </c>
      <c r="AB32" s="4">
        <v>1.5000000596046448E-3</v>
      </c>
      <c r="AC32" s="4">
        <v>0.40470001220703122</v>
      </c>
      <c r="AD32" s="4">
        <v>9.2600002288818359E-2</v>
      </c>
      <c r="AE32" s="4">
        <v>0.1115999984741211</v>
      </c>
      <c r="AF32" s="4">
        <v>9.9499998092651365E-2</v>
      </c>
      <c r="AG32" s="4">
        <v>1.559999942779541E-2</v>
      </c>
      <c r="AH32" s="4">
        <v>4.3299999237060544E-2</v>
      </c>
      <c r="AI32" s="4">
        <v>3.4000000953674316E-2</v>
      </c>
      <c r="AJ32" s="4">
        <v>8.7499999999999994E-2</v>
      </c>
      <c r="AK32" s="4">
        <v>7.5500001907348638E-2</v>
      </c>
      <c r="AL32" s="4">
        <v>1.7000000476837158E-2</v>
      </c>
      <c r="AM32" s="4">
        <v>1.8799999952316283E-2</v>
      </c>
      <c r="AN32" s="12">
        <v>0</v>
      </c>
      <c r="AO32" s="13">
        <v>46322</v>
      </c>
    </row>
    <row r="33" spans="1:41" x14ac:dyDescent="0.3">
      <c r="A33" s="3" t="s">
        <v>417</v>
      </c>
      <c r="B33" s="3" t="s">
        <v>418</v>
      </c>
      <c r="C33" s="4">
        <v>0.23350000381469727</v>
      </c>
      <c r="D33" s="4">
        <v>0.23420000076293945</v>
      </c>
      <c r="E33" s="4">
        <v>0.12640000343322755</v>
      </c>
      <c r="F33" s="4">
        <v>0.10850000381469727</v>
      </c>
      <c r="G33" s="5">
        <v>72</v>
      </c>
      <c r="H33" s="5">
        <v>9.3100004196166992</v>
      </c>
      <c r="I33" s="5">
        <v>0.5899999737739563</v>
      </c>
      <c r="J33" s="5">
        <v>15.060000419616699</v>
      </c>
      <c r="K33" s="5">
        <v>0.79</v>
      </c>
      <c r="L33" s="6">
        <v>6200</v>
      </c>
      <c r="M33" s="7" t="s">
        <v>419</v>
      </c>
      <c r="N33" s="6">
        <v>2008</v>
      </c>
      <c r="O33" s="3" t="s">
        <v>420</v>
      </c>
      <c r="P33" s="4">
        <v>1.0004000091552734</v>
      </c>
      <c r="Q33" s="4">
        <v>-1.0000000149011613E-3</v>
      </c>
      <c r="R33" s="8">
        <v>5</v>
      </c>
      <c r="S33" s="5">
        <v>5.130000114440918</v>
      </c>
      <c r="T33" s="5">
        <v>0.94999998807907104</v>
      </c>
      <c r="U33" s="9">
        <v>104</v>
      </c>
      <c r="V33" s="9">
        <v>81</v>
      </c>
      <c r="W33" s="14">
        <v>-0.15869999885559083</v>
      </c>
      <c r="X33" s="4">
        <v>-0.34599998474121096</v>
      </c>
      <c r="Y33" s="4">
        <v>3.1000000238418581E-3</v>
      </c>
      <c r="Z33" s="4">
        <v>7.9999998211860652E-4</v>
      </c>
      <c r="AA33" s="4">
        <v>0.46409999847412109</v>
      </c>
      <c r="AB33" s="4">
        <v>0.53209999084472659</v>
      </c>
      <c r="AC33" s="4">
        <v>0.44860000610351564</v>
      </c>
      <c r="AD33" s="4">
        <v>4.3400001525878903E-2</v>
      </c>
      <c r="AE33" s="4">
        <v>0.20620000839233399</v>
      </c>
      <c r="AF33" s="4">
        <v>5.2699999809265138E-2</v>
      </c>
      <c r="AG33" s="4">
        <v>5.8699998855590824E-2</v>
      </c>
      <c r="AH33" s="4">
        <v>2.700000047683716E-2</v>
      </c>
      <c r="AI33" s="4">
        <v>2.1500000953674315E-2</v>
      </c>
      <c r="AJ33" s="4">
        <v>6.5700001716613776E-2</v>
      </c>
      <c r="AK33" s="4">
        <v>5.909999847412109E-2</v>
      </c>
      <c r="AL33" s="4">
        <v>1.2000000476837159E-2</v>
      </c>
      <c r="AM33" s="4">
        <v>4.9000000953674317E-3</v>
      </c>
      <c r="AN33" s="12">
        <v>0</v>
      </c>
      <c r="AO33" s="13">
        <v>46322</v>
      </c>
    </row>
    <row r="34" spans="1:41" x14ac:dyDescent="0.3">
      <c r="A34" s="3" t="s">
        <v>250</v>
      </c>
      <c r="B34" s="3" t="s">
        <v>41</v>
      </c>
      <c r="C34" s="4">
        <v>0.28780000686645507</v>
      </c>
      <c r="D34" s="4">
        <v>0.22479999542236329</v>
      </c>
      <c r="E34" s="15">
        <v>0.12340000152587891</v>
      </c>
      <c r="F34" s="15">
        <v>0.12109999656677246</v>
      </c>
      <c r="G34" s="5">
        <v>59</v>
      </c>
      <c r="H34" s="5">
        <v>14.670000076293945</v>
      </c>
      <c r="I34" s="5">
        <v>1.2799999713897705</v>
      </c>
      <c r="J34" s="5">
        <v>13.510000228881836</v>
      </c>
      <c r="K34" s="5">
        <v>0.82</v>
      </c>
      <c r="L34" s="6">
        <v>1400</v>
      </c>
      <c r="M34" s="7" t="s">
        <v>251</v>
      </c>
      <c r="N34" s="6">
        <v>2012</v>
      </c>
      <c r="O34" s="3" t="s">
        <v>252</v>
      </c>
      <c r="P34" s="4">
        <v>0.97480003356933598</v>
      </c>
      <c r="Q34" s="4">
        <v>0</v>
      </c>
      <c r="R34" s="8">
        <v>4</v>
      </c>
      <c r="S34" s="5">
        <v>1.6000000238418579</v>
      </c>
      <c r="T34" s="5">
        <v>1.1000000238418579</v>
      </c>
      <c r="U34" s="9">
        <v>109</v>
      </c>
      <c r="V34" s="9">
        <v>99</v>
      </c>
      <c r="W34" s="11">
        <v>-0.13350000381469726</v>
      </c>
      <c r="X34" s="4">
        <v>-7.4800000190734864E-2</v>
      </c>
      <c r="Y34" s="4">
        <v>0.64980003356933591</v>
      </c>
      <c r="Z34" s="4">
        <v>0.19260000228881835</v>
      </c>
      <c r="AA34" s="4">
        <v>0.13300000190734862</v>
      </c>
      <c r="AB34" s="4">
        <v>2.4600000381469728E-2</v>
      </c>
      <c r="AC34" s="4">
        <v>0.27700000762939453</v>
      </c>
      <c r="AD34" s="4">
        <v>0.14640000343322754</v>
      </c>
      <c r="AE34" s="4">
        <v>0.15850000381469725</v>
      </c>
      <c r="AF34" s="4">
        <v>0.11149999618530274</v>
      </c>
      <c r="AG34" s="4">
        <v>7.5799999237060545E-2</v>
      </c>
      <c r="AH34" s="4">
        <v>2.2899999618530273E-2</v>
      </c>
      <c r="AI34" s="4">
        <v>6.1399998664855959E-2</v>
      </c>
      <c r="AJ34" s="4">
        <v>3.4700000286102296E-2</v>
      </c>
      <c r="AK34" s="4">
        <v>8.6700000762939447E-2</v>
      </c>
      <c r="AL34" s="4">
        <v>0</v>
      </c>
      <c r="AM34" s="4">
        <v>2.5199999809265138E-2</v>
      </c>
      <c r="AN34" s="12">
        <v>0</v>
      </c>
      <c r="AO34" s="13">
        <v>46322</v>
      </c>
    </row>
    <row r="35" spans="1:41" x14ac:dyDescent="0.3">
      <c r="A35" s="3" t="s">
        <v>422</v>
      </c>
      <c r="B35" s="3" t="s">
        <v>418</v>
      </c>
      <c r="C35" s="4">
        <v>0.26379999160766604</v>
      </c>
      <c r="D35" s="4">
        <v>0.23329999923706055</v>
      </c>
      <c r="E35" s="4">
        <v>0.12300000190734864</v>
      </c>
      <c r="F35" s="4">
        <v>0.10819999694824219</v>
      </c>
      <c r="G35" s="5">
        <v>74</v>
      </c>
      <c r="H35" s="5">
        <v>6.570000171661377</v>
      </c>
      <c r="I35" s="5">
        <v>0.54000002145767212</v>
      </c>
      <c r="J35" s="5">
        <v>15.199999809265137</v>
      </c>
      <c r="K35" s="5">
        <v>0.96</v>
      </c>
      <c r="L35" s="6">
        <v>1400</v>
      </c>
      <c r="M35" s="7" t="s">
        <v>423</v>
      </c>
      <c r="N35" s="6">
        <v>2018</v>
      </c>
      <c r="O35" s="3" t="s">
        <v>424</v>
      </c>
      <c r="P35" s="4">
        <v>0.95709999084472652</v>
      </c>
      <c r="Q35" s="4">
        <v>0</v>
      </c>
      <c r="R35" s="8">
        <v>5</v>
      </c>
      <c r="S35" s="5">
        <v>4.4200000762939453</v>
      </c>
      <c r="T35" s="5">
        <v>0.94999998807907104</v>
      </c>
      <c r="U35" s="9">
        <v>106</v>
      </c>
      <c r="V35" s="9">
        <v>87</v>
      </c>
      <c r="W35" s="14">
        <v>-9.6700000762939456E-2</v>
      </c>
      <c r="X35" s="4">
        <v>-0.12350000381469727</v>
      </c>
      <c r="Y35" s="4">
        <v>0</v>
      </c>
      <c r="Z35" s="4">
        <v>8.0000001192092902E-3</v>
      </c>
      <c r="AA35" s="4">
        <v>0.46430000305175784</v>
      </c>
      <c r="AB35" s="4">
        <v>0.52770000457763677</v>
      </c>
      <c r="AC35" s="4">
        <v>0.38279998779296875</v>
      </c>
      <c r="AD35" s="4">
        <v>6.1000001430511477E-3</v>
      </c>
      <c r="AE35" s="4">
        <v>0.18520000457763672</v>
      </c>
      <c r="AF35" s="4">
        <v>1.8200000524520876E-2</v>
      </c>
      <c r="AG35" s="4">
        <v>0.10399999618530273</v>
      </c>
      <c r="AH35" s="4">
        <v>2.3999999463558195E-3</v>
      </c>
      <c r="AI35" s="4">
        <v>0.11260000228881836</v>
      </c>
      <c r="AJ35" s="4">
        <v>8.0299997329711909E-2</v>
      </c>
      <c r="AK35" s="4">
        <v>9.3800001144409173E-2</v>
      </c>
      <c r="AL35" s="4">
        <v>3.6000001430511477E-3</v>
      </c>
      <c r="AM35" s="4">
        <v>1.1100000143051148E-2</v>
      </c>
      <c r="AN35" s="12">
        <v>0</v>
      </c>
      <c r="AO35" s="13">
        <v>46322</v>
      </c>
    </row>
    <row r="36" spans="1:41" x14ac:dyDescent="0.3">
      <c r="A36" s="3" t="s">
        <v>70</v>
      </c>
      <c r="B36" s="3" t="s">
        <v>71</v>
      </c>
      <c r="C36" s="4">
        <v>0.17739999771118165</v>
      </c>
      <c r="D36" s="4">
        <v>0.23590000152587889</v>
      </c>
      <c r="E36" s="4">
        <v>0.1225</v>
      </c>
      <c r="F36" s="4">
        <v>0.123100004196167</v>
      </c>
      <c r="G36" s="5">
        <v>66</v>
      </c>
      <c r="H36" s="5">
        <v>8.4700002670288086</v>
      </c>
      <c r="I36" s="5">
        <v>0.61000001430511475</v>
      </c>
      <c r="J36" s="5">
        <v>12.5</v>
      </c>
      <c r="K36" s="5">
        <v>1.3</v>
      </c>
      <c r="L36" s="6">
        <v>2400</v>
      </c>
      <c r="M36" s="7" t="s">
        <v>72</v>
      </c>
      <c r="N36" s="6">
        <v>2013</v>
      </c>
      <c r="O36" s="3" t="s">
        <v>73</v>
      </c>
      <c r="P36" s="4">
        <v>0.82949996948242188</v>
      </c>
      <c r="Q36" s="4">
        <v>1.0999999940395355E-3</v>
      </c>
      <c r="R36" s="8">
        <v>5</v>
      </c>
      <c r="S36" s="5">
        <v>4.4699997901916504</v>
      </c>
      <c r="T36" s="5">
        <v>0.75</v>
      </c>
      <c r="U36" s="10">
        <v>94</v>
      </c>
      <c r="V36" s="9">
        <v>75</v>
      </c>
      <c r="W36" s="14">
        <v>-0.14489999771118164</v>
      </c>
      <c r="X36" s="4">
        <v>-0.29219999313354494</v>
      </c>
      <c r="Y36" s="4">
        <v>0.25290000915527344</v>
      </c>
      <c r="Z36" s="4">
        <v>0.11270000457763672</v>
      </c>
      <c r="AA36" s="4">
        <v>0.27750000000000002</v>
      </c>
      <c r="AB36" s="4">
        <v>0.35700000762939454</v>
      </c>
      <c r="AC36" s="4">
        <v>3.7799999713897706E-2</v>
      </c>
      <c r="AD36" s="4">
        <v>3.2000000476837161E-2</v>
      </c>
      <c r="AE36" s="4">
        <v>4.7399997711181641E-2</v>
      </c>
      <c r="AF36" s="4">
        <v>9.1300001144409185E-2</v>
      </c>
      <c r="AG36" s="4">
        <v>0.32290000915527345</v>
      </c>
      <c r="AH36" s="4">
        <v>7.8000001907348626E-2</v>
      </c>
      <c r="AI36" s="4">
        <v>0.16690000534057617</v>
      </c>
      <c r="AJ36" s="4">
        <v>5.1399998664855957E-2</v>
      </c>
      <c r="AK36" s="4">
        <v>0.11010000228881836</v>
      </c>
      <c r="AL36" s="4">
        <v>2.2499999999999999E-2</v>
      </c>
      <c r="AM36" s="4">
        <v>3.9800000190734861E-2</v>
      </c>
      <c r="AN36" s="12">
        <v>0</v>
      </c>
      <c r="AO36" s="13">
        <v>46322</v>
      </c>
    </row>
    <row r="37" spans="1:41" x14ac:dyDescent="0.3">
      <c r="A37" s="3" t="s">
        <v>338</v>
      </c>
      <c r="B37" s="3" t="s">
        <v>339</v>
      </c>
      <c r="C37" s="4">
        <v>8.949999809265137E-2</v>
      </c>
      <c r="D37" s="4">
        <v>0.23629999160766602</v>
      </c>
      <c r="E37" s="4">
        <v>0.12170000076293945</v>
      </c>
      <c r="G37" s="5">
        <v>74</v>
      </c>
      <c r="H37" s="5">
        <v>10.130000114440918</v>
      </c>
      <c r="I37" s="5">
        <v>0.79000002145767212</v>
      </c>
      <c r="J37" s="5">
        <v>15.329999923706055</v>
      </c>
      <c r="K37" s="5">
        <v>1.51</v>
      </c>
      <c r="L37" s="6">
        <v>1100</v>
      </c>
      <c r="M37" s="7" t="s">
        <v>340</v>
      </c>
      <c r="N37" s="6">
        <v>2018</v>
      </c>
      <c r="O37" s="3" t="s">
        <v>341</v>
      </c>
      <c r="P37" s="4">
        <v>0.99919998168945312</v>
      </c>
      <c r="Q37" s="4">
        <v>0</v>
      </c>
      <c r="R37" s="8">
        <v>5</v>
      </c>
      <c r="S37" s="5">
        <v>9.1700000762939453</v>
      </c>
      <c r="T37" s="5">
        <v>0.87999999523162842</v>
      </c>
      <c r="U37" s="9">
        <v>124</v>
      </c>
      <c r="V37" s="9">
        <v>78</v>
      </c>
      <c r="W37" s="14">
        <v>-9.8400001525878911E-2</v>
      </c>
      <c r="X37" s="4">
        <v>-0.10090000152587891</v>
      </c>
      <c r="Y37" s="4">
        <v>1.309999942779541E-2</v>
      </c>
      <c r="Z37" s="4">
        <v>0.97639999389648435</v>
      </c>
      <c r="AA37" s="4">
        <v>0</v>
      </c>
      <c r="AB37" s="4">
        <v>1.0499999523162842E-2</v>
      </c>
      <c r="AC37" s="4">
        <v>6.25E-2</v>
      </c>
      <c r="AD37" s="4">
        <v>3.7100000381469725E-2</v>
      </c>
      <c r="AE37" s="4">
        <v>2.4400000572204591E-2</v>
      </c>
      <c r="AF37" s="4">
        <v>3.3599998950958249E-2</v>
      </c>
      <c r="AG37" s="4">
        <v>5.4600000381469727E-2</v>
      </c>
      <c r="AH37" s="4">
        <v>9.4999998807907098E-3</v>
      </c>
      <c r="AI37" s="4">
        <v>5.3000001907348632E-2</v>
      </c>
      <c r="AJ37" s="4">
        <v>0.15689999580383301</v>
      </c>
      <c r="AK37" s="4">
        <v>0.54419998168945316</v>
      </c>
      <c r="AL37" s="4">
        <v>0</v>
      </c>
      <c r="AM37" s="4">
        <v>2.4100000858306884E-2</v>
      </c>
      <c r="AN37" s="12">
        <v>0</v>
      </c>
      <c r="AO37" s="13">
        <v>46322</v>
      </c>
    </row>
    <row r="38" spans="1:41" x14ac:dyDescent="0.3">
      <c r="A38" s="3" t="s">
        <v>74</v>
      </c>
      <c r="B38" s="3" t="s">
        <v>58</v>
      </c>
      <c r="C38" s="4">
        <v>0.24889999389648437</v>
      </c>
      <c r="D38" s="4">
        <v>0.20340000152587889</v>
      </c>
      <c r="E38" s="4">
        <v>0.12079999923706054</v>
      </c>
      <c r="F38" s="4">
        <v>0.12640000343322755</v>
      </c>
      <c r="G38" s="5">
        <v>56</v>
      </c>
      <c r="H38" s="5">
        <v>15.439999580383301</v>
      </c>
      <c r="I38" s="5">
        <v>0.56999999284744263</v>
      </c>
      <c r="J38" s="5">
        <v>12.810000419616699</v>
      </c>
      <c r="K38" s="5">
        <v>0.8</v>
      </c>
      <c r="L38" s="6">
        <v>13400</v>
      </c>
      <c r="M38" s="7" t="s">
        <v>75</v>
      </c>
      <c r="N38" s="6">
        <v>2013</v>
      </c>
      <c r="O38" s="3" t="s">
        <v>76</v>
      </c>
      <c r="P38" s="4">
        <v>0.9630000305175781</v>
      </c>
      <c r="Q38" s="4">
        <v>0</v>
      </c>
      <c r="R38" s="8">
        <v>5</v>
      </c>
      <c r="S38" s="5">
        <v>1.4800000190734863</v>
      </c>
      <c r="T38" s="5">
        <v>0.92000001668930054</v>
      </c>
      <c r="U38" s="10">
        <v>95</v>
      </c>
      <c r="V38" s="9">
        <v>88</v>
      </c>
      <c r="W38" s="14">
        <v>-0.13550000190734862</v>
      </c>
      <c r="X38" s="4">
        <v>-0.27229999542236327</v>
      </c>
      <c r="Y38" s="4">
        <v>0.58900001525878909</v>
      </c>
      <c r="Z38" s="4">
        <v>0.20499999999999999</v>
      </c>
      <c r="AA38" s="4">
        <v>0.20200000762939452</v>
      </c>
      <c r="AB38" s="4">
        <v>4.0000000596046451E-3</v>
      </c>
      <c r="AC38" s="4">
        <v>0.37200000762939456</v>
      </c>
      <c r="AD38" s="4">
        <v>0.13199999809265137</v>
      </c>
      <c r="AE38" s="4">
        <v>0.21290000915527343</v>
      </c>
      <c r="AF38" s="4">
        <v>0.11329999923706055</v>
      </c>
      <c r="AG38" s="4">
        <v>0</v>
      </c>
      <c r="AH38" s="4">
        <v>5.8400001525878903E-2</v>
      </c>
      <c r="AI38" s="4">
        <v>0</v>
      </c>
      <c r="AJ38" s="4">
        <v>6.0100002288818358E-2</v>
      </c>
      <c r="AK38" s="4">
        <v>5.1300001144409177E-2</v>
      </c>
      <c r="AL38" s="4">
        <v>0</v>
      </c>
      <c r="AM38" s="4">
        <v>0</v>
      </c>
      <c r="AN38" s="12">
        <v>0</v>
      </c>
      <c r="AO38" s="13">
        <v>46322</v>
      </c>
    </row>
    <row r="39" spans="1:41" x14ac:dyDescent="0.3">
      <c r="A39" s="3" t="s">
        <v>77</v>
      </c>
      <c r="B39" s="3" t="s">
        <v>58</v>
      </c>
      <c r="C39" s="4">
        <v>0.25680000305175782</v>
      </c>
      <c r="D39" s="4">
        <v>0.17239999771118164</v>
      </c>
      <c r="E39" s="4">
        <v>0.12020000457763672</v>
      </c>
      <c r="F39" s="4">
        <v>0.13050000190734865</v>
      </c>
      <c r="G39" s="5">
        <v>61</v>
      </c>
      <c r="H39" s="5">
        <v>23.440000534057617</v>
      </c>
      <c r="I39" s="5">
        <v>0.47999998927116394</v>
      </c>
      <c r="J39" s="5">
        <v>15.529999732971191</v>
      </c>
      <c r="K39" s="5">
        <v>1.7</v>
      </c>
      <c r="L39" s="6">
        <v>444</v>
      </c>
      <c r="M39" s="7" t="s">
        <v>78</v>
      </c>
      <c r="N39" s="6">
        <v>2016</v>
      </c>
      <c r="O39" s="3" t="s">
        <v>79</v>
      </c>
      <c r="P39" s="4">
        <v>1</v>
      </c>
      <c r="Q39" s="4">
        <v>0</v>
      </c>
      <c r="R39" s="8">
        <v>5</v>
      </c>
      <c r="S39" s="5">
        <v>2.380000114440918</v>
      </c>
      <c r="T39" s="5">
        <v>0.86000001430511475</v>
      </c>
      <c r="U39" s="10">
        <v>93</v>
      </c>
      <c r="V39" s="9">
        <v>83</v>
      </c>
      <c r="W39" s="14">
        <v>-0.18670000076293947</v>
      </c>
      <c r="X39" s="4">
        <v>-0.3306999969482422</v>
      </c>
      <c r="Y39" s="4">
        <v>0.72150001525878904</v>
      </c>
      <c r="Z39" s="4">
        <v>0.20610000610351562</v>
      </c>
      <c r="AA39" s="4">
        <v>7.2399997711181635E-2</v>
      </c>
      <c r="AB39" s="4">
        <v>0</v>
      </c>
      <c r="AC39" s="4">
        <v>0.31319999694824219</v>
      </c>
      <c r="AD39" s="4">
        <v>0.15739999771118163</v>
      </c>
      <c r="AE39" s="4">
        <v>9.0500001907348637E-2</v>
      </c>
      <c r="AF39" s="4">
        <v>6.6300001144409176E-2</v>
      </c>
      <c r="AG39" s="4">
        <v>0</v>
      </c>
      <c r="AH39" s="4">
        <v>7.420000076293945E-2</v>
      </c>
      <c r="AI39" s="4">
        <v>0</v>
      </c>
      <c r="AJ39" s="4">
        <v>0</v>
      </c>
      <c r="AK39" s="4">
        <v>0.29850000381469727</v>
      </c>
      <c r="AL39" s="4">
        <v>0</v>
      </c>
      <c r="AM39" s="4">
        <v>0</v>
      </c>
      <c r="AN39" s="12">
        <v>0</v>
      </c>
      <c r="AO39" s="13">
        <v>46322</v>
      </c>
    </row>
    <row r="40" spans="1:41" x14ac:dyDescent="0.3">
      <c r="A40" s="3" t="s">
        <v>80</v>
      </c>
      <c r="B40" s="3" t="s">
        <v>41</v>
      </c>
      <c r="C40" s="4">
        <v>0.28489999771118163</v>
      </c>
      <c r="D40" s="4">
        <v>0.19729999542236329</v>
      </c>
      <c r="E40" s="4">
        <v>0.11949999809265137</v>
      </c>
      <c r="G40" s="5">
        <v>60</v>
      </c>
      <c r="H40" s="5">
        <v>10.25</v>
      </c>
      <c r="I40" s="5">
        <v>0.44999998807907104</v>
      </c>
      <c r="J40" s="5">
        <v>14.140000343322754</v>
      </c>
      <c r="K40" s="5">
        <v>0.7</v>
      </c>
      <c r="L40" s="6">
        <v>529</v>
      </c>
      <c r="M40" s="7" t="s">
        <v>81</v>
      </c>
      <c r="N40" s="6">
        <v>2014</v>
      </c>
      <c r="O40" s="3" t="s">
        <v>82</v>
      </c>
      <c r="P40" s="4">
        <v>0.97279998779296872</v>
      </c>
      <c r="Q40" s="4">
        <v>0</v>
      </c>
      <c r="R40" s="8">
        <v>3</v>
      </c>
      <c r="S40" s="5">
        <v>-2.190000057220459</v>
      </c>
      <c r="T40" s="5">
        <v>1.1699999570846558</v>
      </c>
      <c r="U40" s="9">
        <v>106</v>
      </c>
      <c r="V40" s="10">
        <v>140</v>
      </c>
      <c r="W40" s="11">
        <v>-0.12199999809265137</v>
      </c>
      <c r="X40" s="4">
        <v>-7.4800000190734864E-2</v>
      </c>
      <c r="Y40" s="4">
        <v>0.53459999084472654</v>
      </c>
      <c r="Z40" s="4">
        <v>0.32229999542236326</v>
      </c>
      <c r="AA40" s="4">
        <v>9.9799995422363286E-2</v>
      </c>
      <c r="AB40" s="4">
        <v>4.3400001525878903E-2</v>
      </c>
      <c r="AC40" s="4">
        <v>0.24950000762939453</v>
      </c>
      <c r="AD40" s="4">
        <v>0.15100000381469728</v>
      </c>
      <c r="AE40" s="4">
        <v>0.19219999313354491</v>
      </c>
      <c r="AF40" s="4">
        <v>2.7799999713897704E-2</v>
      </c>
      <c r="AG40" s="4">
        <v>5.3699998855590819E-2</v>
      </c>
      <c r="AH40" s="4">
        <v>8.8699998855590823E-2</v>
      </c>
      <c r="AI40" s="4">
        <v>3.539999961853027E-2</v>
      </c>
      <c r="AJ40" s="4">
        <v>9.289999961853028E-2</v>
      </c>
      <c r="AK40" s="4">
        <v>7.6799998283386225E-2</v>
      </c>
      <c r="AL40" s="4">
        <v>1.2300000190734864E-2</v>
      </c>
      <c r="AM40" s="4">
        <v>1.9800000190734864E-2</v>
      </c>
      <c r="AN40" s="12">
        <v>0</v>
      </c>
      <c r="AO40" s="13">
        <v>46322</v>
      </c>
    </row>
    <row r="41" spans="1:41" x14ac:dyDescent="0.3">
      <c r="A41" s="3" t="s">
        <v>276</v>
      </c>
      <c r="B41" s="3" t="s">
        <v>277</v>
      </c>
      <c r="C41" s="4">
        <v>0.24430000305175781</v>
      </c>
      <c r="D41" s="4">
        <v>0.17860000610351562</v>
      </c>
      <c r="E41" s="4">
        <v>0.11859999656677246</v>
      </c>
      <c r="F41" s="4">
        <v>0.12180000305175781</v>
      </c>
      <c r="G41" s="5">
        <v>59</v>
      </c>
      <c r="H41" s="5">
        <v>11.590000152587891</v>
      </c>
      <c r="I41" s="5">
        <v>0.44999998807907104</v>
      </c>
      <c r="J41" s="5">
        <v>14.350000381469727</v>
      </c>
      <c r="K41" s="5">
        <v>0.85</v>
      </c>
      <c r="L41" s="6">
        <v>2000</v>
      </c>
      <c r="M41" s="7" t="s">
        <v>55</v>
      </c>
      <c r="N41" s="6">
        <v>2005</v>
      </c>
      <c r="O41" s="3" t="s">
        <v>278</v>
      </c>
      <c r="P41" s="4">
        <v>0.98690002441406255</v>
      </c>
      <c r="Q41" s="4">
        <v>0</v>
      </c>
      <c r="R41" s="8">
        <v>4</v>
      </c>
      <c r="S41" s="5">
        <v>-1.5700000524520874</v>
      </c>
      <c r="T41" s="5">
        <v>1.0700000524520874</v>
      </c>
      <c r="U41" s="10">
        <v>97</v>
      </c>
      <c r="V41" s="10">
        <v>103</v>
      </c>
      <c r="W41" s="14">
        <v>-0.14939999580383301</v>
      </c>
      <c r="X41" s="4">
        <v>-0.18139999389648437</v>
      </c>
      <c r="Y41" s="4">
        <v>0.96559997558593746</v>
      </c>
      <c r="Z41" s="4">
        <v>2.8900001049041748E-2</v>
      </c>
      <c r="AA41" s="4">
        <v>0</v>
      </c>
      <c r="AB41" s="4">
        <v>5.6000000238418581E-3</v>
      </c>
      <c r="AC41" s="4">
        <v>0.10569999694824218</v>
      </c>
      <c r="AD41" s="4">
        <v>0.26770000457763671</v>
      </c>
      <c r="AE41" s="4">
        <v>0.22280000686645507</v>
      </c>
      <c r="AF41" s="4">
        <v>5.5900001525878908E-2</v>
      </c>
      <c r="AG41" s="4">
        <v>4.0799999237060548E-2</v>
      </c>
      <c r="AH41" s="4">
        <v>6.6599998474121097E-2</v>
      </c>
      <c r="AI41" s="4">
        <v>6.2699999809265133E-2</v>
      </c>
      <c r="AJ41" s="4">
        <v>6.0799999237060545E-2</v>
      </c>
      <c r="AK41" s="4">
        <v>0.11239999771118164</v>
      </c>
      <c r="AL41" s="4">
        <v>0</v>
      </c>
      <c r="AM41" s="4">
        <v>4.4999998807907105E-3</v>
      </c>
      <c r="AN41" s="12">
        <v>0</v>
      </c>
      <c r="AO41" s="13">
        <v>46322</v>
      </c>
    </row>
    <row r="42" spans="1:41" x14ac:dyDescent="0.3">
      <c r="A42" s="3" t="s">
        <v>387</v>
      </c>
      <c r="B42" s="3" t="s">
        <v>369</v>
      </c>
      <c r="C42" s="4">
        <v>0.26420000076293948</v>
      </c>
      <c r="D42" s="4">
        <v>0.30450000762939455</v>
      </c>
      <c r="E42" s="4">
        <v>0.1184000015258789</v>
      </c>
      <c r="F42" s="4">
        <v>0.22280000686645507</v>
      </c>
      <c r="G42" s="5">
        <v>78</v>
      </c>
      <c r="H42" s="5">
        <v>17.959999084472656</v>
      </c>
      <c r="I42" s="5">
        <v>0</v>
      </c>
      <c r="J42" s="5">
        <v>0</v>
      </c>
      <c r="L42" s="6">
        <v>18700</v>
      </c>
      <c r="M42" s="7" t="s">
        <v>388</v>
      </c>
      <c r="N42" s="6">
        <v>2017</v>
      </c>
      <c r="O42" s="3" t="s">
        <v>389</v>
      </c>
      <c r="P42" s="4">
        <v>0.93470001220703125</v>
      </c>
      <c r="Q42" s="4">
        <v>4.4999998807907105E-3</v>
      </c>
      <c r="R42" s="8">
        <v>0</v>
      </c>
      <c r="S42" s="5">
        <v>0</v>
      </c>
      <c r="T42" s="5">
        <v>0</v>
      </c>
      <c r="U42" s="10">
        <v>0</v>
      </c>
      <c r="V42" s="9">
        <v>0</v>
      </c>
      <c r="W42" s="11">
        <v>-0.23139999389648438</v>
      </c>
      <c r="X42" s="4">
        <v>-0.11590000152587891</v>
      </c>
      <c r="Y42" s="4">
        <v>0.79099998474121092</v>
      </c>
      <c r="Z42" s="4">
        <v>0</v>
      </c>
      <c r="AA42" s="4">
        <v>0.19700000762939454</v>
      </c>
      <c r="AB42" s="4">
        <v>1.190000057220459E-2</v>
      </c>
      <c r="AC42" s="4">
        <v>0.88260002136230464</v>
      </c>
      <c r="AD42" s="4">
        <v>0</v>
      </c>
      <c r="AE42" s="4">
        <v>8.2999998331069955E-3</v>
      </c>
      <c r="AF42" s="4">
        <v>3.8399999141693113E-2</v>
      </c>
      <c r="AG42" s="4">
        <v>7.6999998092651366E-3</v>
      </c>
      <c r="AH42" s="4">
        <v>0</v>
      </c>
      <c r="AI42" s="4">
        <v>0</v>
      </c>
      <c r="AJ42" s="4">
        <v>3.3299999237060549E-2</v>
      </c>
      <c r="AK42" s="4">
        <v>2.9700000286102295E-2</v>
      </c>
      <c r="AL42" s="4">
        <v>0</v>
      </c>
      <c r="AM42" s="4">
        <v>0</v>
      </c>
      <c r="AN42" s="12">
        <v>0</v>
      </c>
      <c r="AO42" s="13">
        <v>46322</v>
      </c>
    </row>
    <row r="43" spans="1:41" x14ac:dyDescent="0.3">
      <c r="A43" s="3" t="s">
        <v>83</v>
      </c>
      <c r="B43" s="3" t="s">
        <v>84</v>
      </c>
      <c r="C43" s="4">
        <v>0.13619999885559081</v>
      </c>
      <c r="D43" s="4">
        <v>0.23129999160766601</v>
      </c>
      <c r="E43" s="4">
        <v>0.11829999923706054</v>
      </c>
      <c r="G43" s="5">
        <v>67</v>
      </c>
      <c r="H43" s="5">
        <v>15.359999656677246</v>
      </c>
      <c r="I43" s="5">
        <v>0.44999998807907104</v>
      </c>
      <c r="J43" s="5">
        <v>15.619999885559082</v>
      </c>
      <c r="K43" s="5">
        <v>0.95</v>
      </c>
      <c r="L43" s="6">
        <v>2300</v>
      </c>
      <c r="M43" s="7" t="s">
        <v>85</v>
      </c>
      <c r="N43" s="6">
        <v>2019</v>
      </c>
      <c r="O43" s="3" t="s">
        <v>86</v>
      </c>
      <c r="P43" s="4">
        <v>0.95499999999999996</v>
      </c>
      <c r="Q43" s="4">
        <v>6.0000002384185793E-3</v>
      </c>
      <c r="R43" s="8">
        <v>4</v>
      </c>
      <c r="S43" s="5">
        <v>3.869999885559082</v>
      </c>
      <c r="T43" s="5">
        <v>1.0499999523162842</v>
      </c>
      <c r="U43" s="9">
        <v>119</v>
      </c>
      <c r="V43" s="10">
        <v>108</v>
      </c>
      <c r="W43" s="11">
        <v>-0.14119999885559081</v>
      </c>
      <c r="X43" s="4">
        <v>-0.11140000343322753</v>
      </c>
      <c r="Y43" s="4">
        <v>0.66980003356933593</v>
      </c>
      <c r="Z43" s="4">
        <v>0.13140000343322755</v>
      </c>
      <c r="AA43" s="4">
        <v>0.19530000686645507</v>
      </c>
      <c r="AB43" s="4">
        <v>3.6000001430511477E-3</v>
      </c>
      <c r="AC43" s="4">
        <v>0.13869999885559081</v>
      </c>
      <c r="AD43" s="4">
        <v>0.10890000343322753</v>
      </c>
      <c r="AE43" s="4">
        <v>0.14640000343322754</v>
      </c>
      <c r="AF43" s="4">
        <v>2.7599999904632567E-2</v>
      </c>
      <c r="AG43" s="4">
        <v>7.739999771118164E-2</v>
      </c>
      <c r="AH43" s="4">
        <v>4.760000228881836E-2</v>
      </c>
      <c r="AI43" s="4">
        <v>4.8600001335144041E-2</v>
      </c>
      <c r="AJ43" s="4">
        <v>0.11239999771118164</v>
      </c>
      <c r="AK43" s="4">
        <v>0.26149999618530273</v>
      </c>
      <c r="AL43" s="4">
        <v>2.309999942779541E-2</v>
      </c>
      <c r="AM43" s="4">
        <v>7.9000002145767217E-3</v>
      </c>
      <c r="AN43" s="12">
        <v>0</v>
      </c>
      <c r="AO43" s="13">
        <v>46322</v>
      </c>
    </row>
    <row r="44" spans="1:41" x14ac:dyDescent="0.3">
      <c r="A44" s="3" t="s">
        <v>279</v>
      </c>
      <c r="B44" s="3" t="s">
        <v>269</v>
      </c>
      <c r="C44" s="4">
        <v>0.04</v>
      </c>
      <c r="D44" s="4">
        <v>0.20100000381469726</v>
      </c>
      <c r="E44" s="4">
        <v>0.11829999923706054</v>
      </c>
      <c r="G44" s="5">
        <v>80</v>
      </c>
      <c r="H44" s="5">
        <v>23.219999313354492</v>
      </c>
      <c r="I44" s="5">
        <v>0.43999999761581421</v>
      </c>
      <c r="J44" s="5">
        <v>19.149999618530273</v>
      </c>
      <c r="K44" s="5">
        <v>1.01</v>
      </c>
      <c r="L44" s="6">
        <v>4400</v>
      </c>
      <c r="M44" s="7" t="s">
        <v>280</v>
      </c>
      <c r="N44" s="6">
        <v>2016</v>
      </c>
      <c r="O44" s="3" t="s">
        <v>281</v>
      </c>
      <c r="P44" s="4">
        <v>0.98470001220703129</v>
      </c>
      <c r="Q44" s="4">
        <v>0</v>
      </c>
      <c r="R44" s="8">
        <v>4</v>
      </c>
      <c r="S44" s="5">
        <v>-0.33000001311302185</v>
      </c>
      <c r="T44" s="5">
        <v>0.93999999761581421</v>
      </c>
      <c r="U44" s="10">
        <v>97</v>
      </c>
      <c r="V44" s="9">
        <v>99</v>
      </c>
      <c r="W44" s="14">
        <v>-0.23440000534057617</v>
      </c>
      <c r="X44" s="4">
        <v>-0.28899999618530275</v>
      </c>
      <c r="Y44" s="4">
        <v>0.96239997863769533</v>
      </c>
      <c r="Z44" s="4">
        <v>3.7599999904632565E-2</v>
      </c>
      <c r="AA44" s="4">
        <v>0</v>
      </c>
      <c r="AB44" s="4">
        <v>0</v>
      </c>
      <c r="AC44" s="4">
        <v>0.28559999465942382</v>
      </c>
      <c r="AD44" s="4">
        <v>0.1352999973297119</v>
      </c>
      <c r="AE44" s="4">
        <v>6.9699997901916499E-2</v>
      </c>
      <c r="AF44" s="4">
        <v>0.24709999084472656</v>
      </c>
      <c r="AG44" s="4">
        <v>0</v>
      </c>
      <c r="AH44" s="4">
        <v>3.4500000476837156E-2</v>
      </c>
      <c r="AI44" s="4">
        <v>0</v>
      </c>
      <c r="AJ44" s="4">
        <v>0.15229999542236328</v>
      </c>
      <c r="AK44" s="4">
        <v>7.5500001907348638E-2</v>
      </c>
      <c r="AL44" s="4">
        <v>0</v>
      </c>
      <c r="AM44" s="4">
        <v>0</v>
      </c>
      <c r="AN44" s="12">
        <v>0</v>
      </c>
      <c r="AO44" s="13">
        <v>46322</v>
      </c>
    </row>
    <row r="45" spans="1:41" x14ac:dyDescent="0.3">
      <c r="A45" s="3" t="s">
        <v>282</v>
      </c>
      <c r="B45" s="3" t="s">
        <v>273</v>
      </c>
      <c r="C45" s="4">
        <v>0.13600000381469726</v>
      </c>
      <c r="D45" s="4">
        <v>0.23149999618530273</v>
      </c>
      <c r="E45" s="4">
        <v>0.11819999694824218</v>
      </c>
      <c r="F45" s="4">
        <v>0.14140000343322753</v>
      </c>
      <c r="G45" s="5">
        <v>64</v>
      </c>
      <c r="H45" s="5">
        <v>20.139999389648438</v>
      </c>
      <c r="I45" s="5">
        <v>0.62000000476837158</v>
      </c>
      <c r="J45" s="5">
        <v>15.489999771118164</v>
      </c>
      <c r="K45" s="5">
        <v>0.9</v>
      </c>
      <c r="L45" s="6">
        <v>782</v>
      </c>
      <c r="M45" s="7" t="s">
        <v>283</v>
      </c>
      <c r="N45" s="6">
        <v>2011</v>
      </c>
      <c r="O45" s="3" t="s">
        <v>284</v>
      </c>
      <c r="P45" s="4">
        <v>0.97790000915527342</v>
      </c>
      <c r="Q45" s="4">
        <v>0</v>
      </c>
      <c r="R45" s="8">
        <v>3</v>
      </c>
      <c r="S45" s="5">
        <v>0.43999999761581421</v>
      </c>
      <c r="T45" s="5">
        <v>0.95999997854232788</v>
      </c>
      <c r="U45" s="10">
        <v>97</v>
      </c>
      <c r="V45" s="9">
        <v>94</v>
      </c>
      <c r="W45" s="14">
        <v>-0.23889999389648436</v>
      </c>
      <c r="X45" s="4">
        <v>-0.25190000534057616</v>
      </c>
      <c r="Y45" s="4">
        <v>0.97690002441406254</v>
      </c>
      <c r="Z45" s="4">
        <v>0</v>
      </c>
      <c r="AA45" s="4">
        <v>0</v>
      </c>
      <c r="AB45" s="4">
        <v>2.309999942779541E-2</v>
      </c>
      <c r="AC45" s="4">
        <v>0.42549999237060548</v>
      </c>
      <c r="AD45" s="4">
        <v>0.11090000152587891</v>
      </c>
      <c r="AE45" s="4">
        <v>0.11630000114440918</v>
      </c>
      <c r="AF45" s="4">
        <v>0.11890000343322754</v>
      </c>
      <c r="AG45" s="4">
        <v>9.9000000953674318E-3</v>
      </c>
      <c r="AH45" s="4">
        <v>1.1799999475479127E-2</v>
      </c>
      <c r="AI45" s="4">
        <v>2.9000000953674318E-2</v>
      </c>
      <c r="AJ45" s="4">
        <v>9.1400003433227545E-2</v>
      </c>
      <c r="AK45" s="4">
        <v>6.5999999046325683E-2</v>
      </c>
      <c r="AL45" s="4">
        <v>1.0399999618530274E-2</v>
      </c>
      <c r="AM45" s="4">
        <v>9.8000001907348634E-3</v>
      </c>
      <c r="AN45" s="12">
        <v>0</v>
      </c>
      <c r="AO45" s="13">
        <v>46322</v>
      </c>
    </row>
    <row r="46" spans="1:41" x14ac:dyDescent="0.3">
      <c r="A46" s="3" t="s">
        <v>87</v>
      </c>
      <c r="B46" s="3" t="s">
        <v>41</v>
      </c>
      <c r="C46" s="4">
        <v>0.27370000839233399</v>
      </c>
      <c r="D46" s="4">
        <v>0.161299991607666</v>
      </c>
      <c r="E46" s="4">
        <v>0.11720000267028809</v>
      </c>
      <c r="G46" s="5">
        <v>61</v>
      </c>
      <c r="H46" s="5">
        <v>12.100000381469727</v>
      </c>
      <c r="I46" s="5">
        <v>0.43999999761581421</v>
      </c>
      <c r="J46" s="5">
        <v>14.119999885559082</v>
      </c>
      <c r="K46" s="5">
        <v>0.79</v>
      </c>
      <c r="L46" s="6">
        <v>91</v>
      </c>
      <c r="M46" s="7" t="s">
        <v>88</v>
      </c>
      <c r="N46" s="6">
        <v>2019</v>
      </c>
      <c r="O46" s="3" t="s">
        <v>89</v>
      </c>
      <c r="P46" s="4">
        <v>0.65150001525878909</v>
      </c>
      <c r="Q46" s="4">
        <v>9.4999998807907098E-3</v>
      </c>
      <c r="R46" s="8">
        <v>3</v>
      </c>
      <c r="S46" s="5">
        <v>-2.0199999809265137</v>
      </c>
      <c r="T46" s="5">
        <v>1.0399999618530273</v>
      </c>
      <c r="U46" s="10">
        <v>99</v>
      </c>
      <c r="V46" s="10">
        <v>112</v>
      </c>
      <c r="W46" s="14">
        <v>-0.16100000381469726</v>
      </c>
      <c r="X46" s="4">
        <v>-0.22590000152587891</v>
      </c>
      <c r="Y46" s="4">
        <v>0.73760002136230474</v>
      </c>
      <c r="Z46" s="4">
        <v>0.17729999542236327</v>
      </c>
      <c r="AA46" s="4">
        <v>8.5100002288818366E-2</v>
      </c>
      <c r="AB46" s="4">
        <v>0</v>
      </c>
      <c r="AC46" s="4">
        <v>0.19959999084472657</v>
      </c>
      <c r="AD46" s="4">
        <v>0.21799999237060547</v>
      </c>
      <c r="AE46" s="4">
        <v>0.1356999969482422</v>
      </c>
      <c r="AF46" s="4">
        <v>5.8000001907348636E-2</v>
      </c>
      <c r="AG46" s="4">
        <v>3.6600000858306884E-2</v>
      </c>
      <c r="AH46" s="4">
        <v>0.10310000419616699</v>
      </c>
      <c r="AI46" s="4">
        <v>6.4299998283386228E-2</v>
      </c>
      <c r="AJ46" s="4">
        <v>0.11149999618530274</v>
      </c>
      <c r="AK46" s="4">
        <v>6.4099998474121095E-2</v>
      </c>
      <c r="AL46" s="4">
        <v>0</v>
      </c>
      <c r="AM46" s="4">
        <v>9.1000002622604378E-3</v>
      </c>
      <c r="AN46" s="12">
        <v>0</v>
      </c>
      <c r="AO46" s="13">
        <v>46322</v>
      </c>
    </row>
    <row r="47" spans="1:41" x14ac:dyDescent="0.3">
      <c r="A47" s="3" t="s">
        <v>397</v>
      </c>
      <c r="B47" s="3" t="s">
        <v>398</v>
      </c>
      <c r="C47" s="4">
        <v>0.21709999084472656</v>
      </c>
      <c r="D47" s="4">
        <v>0.25809200286865236</v>
      </c>
      <c r="E47" s="4">
        <v>0.1166450023651123</v>
      </c>
      <c r="F47" s="4">
        <v>0.1560070037841797</v>
      </c>
      <c r="G47" s="5">
        <v>71</v>
      </c>
      <c r="H47" s="5">
        <v>24.110000610351563</v>
      </c>
      <c r="I47" s="5">
        <v>0.44999998807907104</v>
      </c>
      <c r="J47" s="5">
        <v>19.819999694824219</v>
      </c>
      <c r="L47" s="6">
        <v>3300</v>
      </c>
      <c r="M47" s="7" t="s">
        <v>399</v>
      </c>
      <c r="N47" s="6">
        <v>2013</v>
      </c>
      <c r="O47" s="3" t="s">
        <v>400</v>
      </c>
      <c r="P47" s="4">
        <v>0.91569999694824222</v>
      </c>
      <c r="Q47" s="4">
        <v>0</v>
      </c>
      <c r="R47" s="8">
        <v>0</v>
      </c>
      <c r="S47" s="5">
        <v>15.680000305175781</v>
      </c>
      <c r="T47" s="5">
        <v>0.77999997138977051</v>
      </c>
      <c r="U47" s="9">
        <v>118</v>
      </c>
      <c r="V47" s="9">
        <v>59</v>
      </c>
      <c r="W47" s="14">
        <v>-0.21209999084472655</v>
      </c>
      <c r="X47" s="4">
        <v>-0.39849998474121096</v>
      </c>
      <c r="Y47" s="4">
        <v>0.92639999389648442</v>
      </c>
      <c r="Z47" s="4">
        <v>7.349999904632569E-2</v>
      </c>
      <c r="AA47" s="4">
        <v>0</v>
      </c>
      <c r="AB47" s="4">
        <v>0</v>
      </c>
      <c r="AC47" s="4">
        <v>0</v>
      </c>
      <c r="AD47" s="4">
        <v>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12">
        <v>8.4307920187711716E-3</v>
      </c>
      <c r="AO47" s="13">
        <v>46322</v>
      </c>
    </row>
    <row r="48" spans="1:41" x14ac:dyDescent="0.3">
      <c r="A48" s="3" t="s">
        <v>285</v>
      </c>
      <c r="B48" s="3" t="s">
        <v>273</v>
      </c>
      <c r="C48" s="4">
        <v>0.13539999961853028</v>
      </c>
      <c r="D48" s="4">
        <v>0.21049999237060546</v>
      </c>
      <c r="E48" s="4">
        <v>0.11619999885559082</v>
      </c>
      <c r="F48" s="4">
        <v>0.14859999656677247</v>
      </c>
      <c r="G48" s="5">
        <v>70</v>
      </c>
      <c r="H48" s="5">
        <v>20.040000915527344</v>
      </c>
      <c r="I48" s="5">
        <v>0.50999999046325684</v>
      </c>
      <c r="J48" s="5">
        <v>16.180000305175781</v>
      </c>
      <c r="K48" s="5">
        <v>1.18</v>
      </c>
      <c r="L48" s="6">
        <v>7500</v>
      </c>
      <c r="M48" s="7" t="s">
        <v>286</v>
      </c>
      <c r="N48" s="6">
        <v>2015</v>
      </c>
      <c r="O48" s="3" t="s">
        <v>287</v>
      </c>
      <c r="P48" s="4">
        <v>0.98879997253417973</v>
      </c>
      <c r="Q48" s="4">
        <v>0</v>
      </c>
      <c r="R48" s="8">
        <v>4</v>
      </c>
      <c r="S48" s="5">
        <v>-0.62000000476837158</v>
      </c>
      <c r="T48" s="5">
        <v>1.059999942779541</v>
      </c>
      <c r="U48" s="9">
        <v>104</v>
      </c>
      <c r="V48" s="10">
        <v>109</v>
      </c>
      <c r="W48" s="14">
        <v>-0.17149999618530273</v>
      </c>
      <c r="X48" s="4">
        <v>-0.25190000534057616</v>
      </c>
      <c r="Y48" s="4">
        <v>0.97650001525878904</v>
      </c>
      <c r="Z48" s="4">
        <v>8.2999998331069955E-3</v>
      </c>
      <c r="AA48" s="4">
        <v>1.5199999809265136E-2</v>
      </c>
      <c r="AB48" s="4">
        <v>0</v>
      </c>
      <c r="AC48" s="4">
        <v>0.42279998779296873</v>
      </c>
      <c r="AD48" s="4">
        <v>0.10130000114440918</v>
      </c>
      <c r="AE48" s="4">
        <v>7.9499998092651361E-2</v>
      </c>
      <c r="AF48" s="4">
        <v>7.2899999618530276E-2</v>
      </c>
      <c r="AG48" s="4">
        <v>4.760000228881836E-2</v>
      </c>
      <c r="AH48" s="4">
        <v>2.380000114440918E-2</v>
      </c>
      <c r="AI48" s="4">
        <v>1.4800000190734863E-2</v>
      </c>
      <c r="AJ48" s="4">
        <v>7.8299999237060547E-2</v>
      </c>
      <c r="AK48" s="4">
        <v>9.0799999237060544E-2</v>
      </c>
      <c r="AL48" s="4">
        <v>0</v>
      </c>
      <c r="AM48" s="4">
        <v>6.8099999427795405E-2</v>
      </c>
      <c r="AN48" s="12">
        <v>0</v>
      </c>
      <c r="AO48" s="13">
        <v>46322</v>
      </c>
    </row>
    <row r="49" spans="1:41" x14ac:dyDescent="0.3">
      <c r="A49" s="3" t="s">
        <v>253</v>
      </c>
      <c r="B49" s="3" t="s">
        <v>254</v>
      </c>
      <c r="C49" s="4">
        <v>0.14819999694824218</v>
      </c>
      <c r="D49" s="4">
        <v>0.17569999694824218</v>
      </c>
      <c r="E49" s="4">
        <v>0.11600000381469727</v>
      </c>
      <c r="G49" s="5">
        <v>67</v>
      </c>
      <c r="H49" s="5">
        <v>10.760000228881836</v>
      </c>
      <c r="I49" s="5">
        <v>0.5</v>
      </c>
      <c r="J49" s="5">
        <v>14.640000343322754</v>
      </c>
      <c r="K49" s="5">
        <v>2.31</v>
      </c>
      <c r="L49" s="6">
        <v>257</v>
      </c>
      <c r="M49" s="7" t="s">
        <v>255</v>
      </c>
      <c r="N49" s="6">
        <v>2018</v>
      </c>
      <c r="O49" s="3" t="s">
        <v>256</v>
      </c>
      <c r="P49" s="4">
        <v>0.87959999084472651</v>
      </c>
      <c r="Q49" s="4">
        <v>1.6499999761581421E-2</v>
      </c>
      <c r="R49" s="8">
        <v>5</v>
      </c>
      <c r="S49" s="5">
        <v>5.2199997901916504</v>
      </c>
      <c r="T49" s="5">
        <v>0.92000001668930054</v>
      </c>
      <c r="U49" s="9">
        <v>111</v>
      </c>
      <c r="V49" s="9">
        <v>90</v>
      </c>
      <c r="W49" s="14">
        <v>-0.12340000152587891</v>
      </c>
      <c r="X49" s="4">
        <v>-0.31540000915527344</v>
      </c>
      <c r="Y49" s="4">
        <v>0.58119998931884764</v>
      </c>
      <c r="Z49" s="4">
        <v>7.2899999618530276E-2</v>
      </c>
      <c r="AA49" s="4">
        <v>6.579999923706055E-2</v>
      </c>
      <c r="AB49" s="4">
        <v>0.28010000228881837</v>
      </c>
      <c r="AC49" s="4">
        <v>3.9700000286102294E-2</v>
      </c>
      <c r="AD49" s="4">
        <v>1.6699999570846558E-2</v>
      </c>
      <c r="AE49" s="4">
        <v>0.13340000152587891</v>
      </c>
      <c r="AF49" s="4">
        <v>3.1900000572204587E-2</v>
      </c>
      <c r="AG49" s="4">
        <v>0.25260000228881835</v>
      </c>
      <c r="AH49" s="4">
        <v>2.2200000286102296E-2</v>
      </c>
      <c r="AI49" s="4">
        <v>0.16860000610351564</v>
      </c>
      <c r="AJ49" s="4">
        <v>0.13630000114440918</v>
      </c>
      <c r="AK49" s="4">
        <v>0.13579999923706054</v>
      </c>
      <c r="AL49" s="4">
        <v>6.2800002098083493E-2</v>
      </c>
      <c r="AM49" s="4">
        <v>0</v>
      </c>
      <c r="AN49" s="12">
        <v>0</v>
      </c>
      <c r="AO49" s="13">
        <v>46322</v>
      </c>
    </row>
    <row r="50" spans="1:41" x14ac:dyDescent="0.3">
      <c r="A50" s="3" t="s">
        <v>257</v>
      </c>
      <c r="B50" s="3" t="s">
        <v>48</v>
      </c>
      <c r="C50" s="4">
        <v>2.7999999523162841E-2</v>
      </c>
      <c r="D50" s="4">
        <v>0.16989999771118164</v>
      </c>
      <c r="E50" s="4">
        <v>0.11449999809265136</v>
      </c>
      <c r="G50" s="5">
        <v>71</v>
      </c>
      <c r="H50" s="5">
        <v>9.5500001907348633</v>
      </c>
      <c r="I50" s="5">
        <v>0.50999999046325684</v>
      </c>
      <c r="J50" s="5">
        <v>12.180000305175781</v>
      </c>
      <c r="K50" s="5">
        <v>1.86</v>
      </c>
      <c r="L50" s="6">
        <v>400</v>
      </c>
      <c r="M50" s="7" t="s">
        <v>258</v>
      </c>
      <c r="N50" s="6">
        <v>2018</v>
      </c>
      <c r="O50" s="3" t="s">
        <v>259</v>
      </c>
      <c r="P50" s="4">
        <v>0.90760002136230467</v>
      </c>
      <c r="Q50" s="4">
        <v>0</v>
      </c>
      <c r="R50" s="8">
        <v>5</v>
      </c>
      <c r="S50" s="5">
        <v>5.0399999618530273</v>
      </c>
      <c r="T50" s="5">
        <v>0.80000001192092896</v>
      </c>
      <c r="U50" s="10">
        <v>93</v>
      </c>
      <c r="V50" s="9">
        <v>68</v>
      </c>
      <c r="W50" s="14">
        <v>-0.11960000038146973</v>
      </c>
      <c r="X50" s="4">
        <v>-0.31540000915527344</v>
      </c>
      <c r="Y50" s="4">
        <v>0.14119999885559081</v>
      </c>
      <c r="Z50" s="4">
        <v>0.64500000000000002</v>
      </c>
      <c r="AA50" s="4">
        <v>3.3699998855590822E-2</v>
      </c>
      <c r="AB50" s="4">
        <v>0.18020000457763671</v>
      </c>
      <c r="AC50" s="4">
        <v>7.5799999237060545E-2</v>
      </c>
      <c r="AD50" s="4">
        <v>2.0199999809265137E-2</v>
      </c>
      <c r="AE50" s="4">
        <v>0.16450000762939454</v>
      </c>
      <c r="AF50" s="4">
        <v>0.12699999809265136</v>
      </c>
      <c r="AG50" s="4">
        <v>6.4000000953674321E-2</v>
      </c>
      <c r="AH50" s="4">
        <v>2.6199998855590819E-2</v>
      </c>
      <c r="AI50" s="4">
        <v>8.4200000762939459E-2</v>
      </c>
      <c r="AJ50" s="4">
        <v>0.26899999618530274</v>
      </c>
      <c r="AK50" s="4">
        <v>0.11560000419616699</v>
      </c>
      <c r="AL50" s="4">
        <v>1.4600000381469726E-2</v>
      </c>
      <c r="AM50" s="4">
        <v>3.8900001049041746E-2</v>
      </c>
      <c r="AN50" s="12">
        <v>1.2120028957724571E-2</v>
      </c>
      <c r="AO50" s="13">
        <v>46322</v>
      </c>
    </row>
    <row r="51" spans="1:41" x14ac:dyDescent="0.3">
      <c r="A51" s="3" t="s">
        <v>509</v>
      </c>
      <c r="B51" s="3" t="s">
        <v>510</v>
      </c>
      <c r="C51" s="4">
        <v>0.11399999618530274</v>
      </c>
      <c r="D51" s="4">
        <v>0.10300000190734863</v>
      </c>
      <c r="E51" s="4">
        <v>0.114399995803833</v>
      </c>
      <c r="F51" s="4">
        <v>8.600000381469726E-2</v>
      </c>
      <c r="G51" s="5">
        <v>67</v>
      </c>
      <c r="H51" s="5">
        <v>14.760000228881836</v>
      </c>
      <c r="I51" s="5">
        <v>1.1200000047683716</v>
      </c>
      <c r="J51" s="5">
        <v>8.7100000381469727</v>
      </c>
      <c r="K51" s="5">
        <v>1.21</v>
      </c>
      <c r="L51" s="6">
        <v>274</v>
      </c>
      <c r="M51" s="7" t="s">
        <v>511</v>
      </c>
      <c r="N51" s="6">
        <v>2012</v>
      </c>
      <c r="O51" s="3" t="s">
        <v>512</v>
      </c>
      <c r="P51" s="4">
        <v>0.85849998474121092</v>
      </c>
      <c r="Q51" s="4">
        <v>0</v>
      </c>
      <c r="R51" s="8">
        <v>5</v>
      </c>
      <c r="S51" s="5">
        <v>7.7300000190734863</v>
      </c>
      <c r="T51" s="5">
        <v>0.25999999046325684</v>
      </c>
      <c r="U51" s="10">
        <v>51</v>
      </c>
      <c r="V51" s="9">
        <v>3</v>
      </c>
      <c r="W51" s="14">
        <v>-5.820000171661377E-2</v>
      </c>
      <c r="X51" s="4">
        <v>-7.9000000953674321E-2</v>
      </c>
      <c r="Y51" s="4">
        <v>0.14270000457763671</v>
      </c>
      <c r="Z51" s="4">
        <v>0.85730003356933593</v>
      </c>
      <c r="AA51" s="4">
        <v>0</v>
      </c>
      <c r="AB51" s="4">
        <v>0</v>
      </c>
      <c r="AC51" s="4">
        <v>7.409999847412109E-2</v>
      </c>
      <c r="AD51" s="4">
        <v>3.8900001049041746E-2</v>
      </c>
      <c r="AE51" s="4">
        <v>0.26149999618530273</v>
      </c>
      <c r="AF51" s="4">
        <v>8.4600000381469725E-2</v>
      </c>
      <c r="AG51" s="4">
        <v>0.12880000114440918</v>
      </c>
      <c r="AH51" s="4">
        <v>2.309999942779541E-2</v>
      </c>
      <c r="AI51" s="4">
        <v>2.6099998950958252E-2</v>
      </c>
      <c r="AJ51" s="4">
        <v>0.19079999923706054</v>
      </c>
      <c r="AK51" s="4">
        <v>0.17200000762939452</v>
      </c>
      <c r="AL51" s="4">
        <v>0</v>
      </c>
      <c r="AM51" s="4">
        <v>0</v>
      </c>
      <c r="AN51" s="12">
        <v>0</v>
      </c>
      <c r="AO51" s="13">
        <v>46322</v>
      </c>
    </row>
    <row r="52" spans="1:41" x14ac:dyDescent="0.3">
      <c r="A52" s="3" t="s">
        <v>90</v>
      </c>
      <c r="B52" s="3" t="s">
        <v>91</v>
      </c>
      <c r="C52" s="4">
        <v>0.21329999923706056</v>
      </c>
      <c r="D52" s="4">
        <v>0.16370000839233398</v>
      </c>
      <c r="E52" s="4">
        <v>0.11430000305175782</v>
      </c>
      <c r="F52" s="4">
        <v>0.10189999580383301</v>
      </c>
      <c r="G52" s="5">
        <v>57</v>
      </c>
      <c r="H52" s="5">
        <v>14.600000381469727</v>
      </c>
      <c r="I52" s="5">
        <v>0.50999999046325684</v>
      </c>
      <c r="J52" s="5">
        <v>10.359999656677246</v>
      </c>
      <c r="K52" s="5">
        <v>0.86</v>
      </c>
      <c r="L52" s="6">
        <v>698</v>
      </c>
      <c r="M52" s="7" t="s">
        <v>92</v>
      </c>
      <c r="N52" s="6">
        <v>2020</v>
      </c>
      <c r="O52" s="3" t="s">
        <v>93</v>
      </c>
      <c r="P52" s="4">
        <v>0.98529998779296879</v>
      </c>
      <c r="Q52" s="4">
        <v>5.9999998658895489E-4</v>
      </c>
      <c r="R52" s="8">
        <v>4</v>
      </c>
      <c r="S52" s="5">
        <v>-0.4699999988079071</v>
      </c>
      <c r="T52" s="5">
        <v>0.9100000262260437</v>
      </c>
      <c r="U52" s="10">
        <v>92</v>
      </c>
      <c r="V52" s="9">
        <v>94</v>
      </c>
      <c r="W52" s="14">
        <v>-9.8400001525878911E-2</v>
      </c>
      <c r="X52" s="4">
        <v>-0.221299991607666</v>
      </c>
      <c r="Y52" s="4">
        <v>0.45799999237060546</v>
      </c>
      <c r="Z52" s="4">
        <v>0.37709999084472656</v>
      </c>
      <c r="AA52" s="4">
        <v>9.779999732971191E-2</v>
      </c>
      <c r="AB52" s="4">
        <v>6.7199997901916497E-2</v>
      </c>
      <c r="AC52" s="4">
        <v>8.9899997711181637E-2</v>
      </c>
      <c r="AD52" s="4">
        <v>0.22850000381469726</v>
      </c>
      <c r="AE52" s="4">
        <v>0.17340000152587889</v>
      </c>
      <c r="AF52" s="4">
        <v>5.8800001144409177E-2</v>
      </c>
      <c r="AG52" s="4">
        <v>1.8899999856948853E-2</v>
      </c>
      <c r="AH52" s="4">
        <v>3.559999942779541E-2</v>
      </c>
      <c r="AI52" s="4">
        <v>6.3200001716613774E-2</v>
      </c>
      <c r="AJ52" s="4">
        <v>0.14909999847412109</v>
      </c>
      <c r="AK52" s="4">
        <v>0.15029999732971192</v>
      </c>
      <c r="AL52" s="4">
        <v>0</v>
      </c>
      <c r="AM52" s="4">
        <v>3.2300000190734861E-2</v>
      </c>
      <c r="AN52" s="12">
        <v>0</v>
      </c>
      <c r="AO52" s="13">
        <v>46322</v>
      </c>
    </row>
    <row r="53" spans="1:41" x14ac:dyDescent="0.3">
      <c r="A53" s="17" t="s">
        <v>94</v>
      </c>
      <c r="B53" s="3" t="s">
        <v>58</v>
      </c>
      <c r="C53" s="4">
        <v>0.17780000686645508</v>
      </c>
      <c r="D53" s="4">
        <v>0.20499999999999999</v>
      </c>
      <c r="E53" s="4">
        <v>0.11350000381469727</v>
      </c>
      <c r="F53" s="4">
        <v>0.12579999923706053</v>
      </c>
      <c r="G53" s="5">
        <v>61</v>
      </c>
      <c r="H53" s="5">
        <v>17.909999847412109</v>
      </c>
      <c r="I53" s="5">
        <v>0.51999998092651367</v>
      </c>
      <c r="J53" s="5">
        <v>13.310000419616699</v>
      </c>
      <c r="K53" s="5">
        <v>0.2</v>
      </c>
      <c r="L53" s="6">
        <v>6100</v>
      </c>
      <c r="M53" s="7" t="s">
        <v>95</v>
      </c>
      <c r="N53" s="6">
        <v>2017</v>
      </c>
      <c r="O53" s="3" t="s">
        <v>96</v>
      </c>
      <c r="P53" s="4">
        <v>0.97790000915527342</v>
      </c>
      <c r="Q53" s="4">
        <v>0</v>
      </c>
      <c r="R53" s="8">
        <v>4</v>
      </c>
      <c r="S53" s="5">
        <v>0.14000000059604645</v>
      </c>
      <c r="T53" s="5">
        <v>1.0199999809265137</v>
      </c>
      <c r="U53" s="10">
        <v>99</v>
      </c>
      <c r="V53" s="10">
        <v>101</v>
      </c>
      <c r="W53" s="11">
        <v>-0.12479999542236328</v>
      </c>
      <c r="X53" s="4">
        <v>-7.9600000381469721E-2</v>
      </c>
      <c r="Y53" s="4">
        <v>0.76400001525878902</v>
      </c>
      <c r="Z53" s="4">
        <v>0.14880000114440917</v>
      </c>
      <c r="AA53" s="4">
        <v>8.1899995803833003E-2</v>
      </c>
      <c r="AB53" s="4">
        <v>5.199999809265137E-3</v>
      </c>
      <c r="AC53" s="4">
        <v>0.31209999084472656</v>
      </c>
      <c r="AD53" s="4">
        <v>9.7399997711181643E-2</v>
      </c>
      <c r="AE53" s="4">
        <v>0.15689999580383301</v>
      </c>
      <c r="AF53" s="4">
        <v>8.1599998474121097E-2</v>
      </c>
      <c r="AG53" s="4">
        <v>2.9500000476837158E-2</v>
      </c>
      <c r="AH53" s="4">
        <v>5.059999942779541E-2</v>
      </c>
      <c r="AI53" s="4">
        <v>4.4299998283386231E-2</v>
      </c>
      <c r="AJ53" s="4">
        <v>8.619999885559082E-2</v>
      </c>
      <c r="AK53" s="4">
        <v>0.10249999999999999</v>
      </c>
      <c r="AL53" s="4">
        <v>1.590000033378601E-2</v>
      </c>
      <c r="AM53" s="4">
        <v>2.309999942779541E-2</v>
      </c>
      <c r="AN53" s="12">
        <v>0</v>
      </c>
      <c r="AO53" s="13">
        <v>46322</v>
      </c>
    </row>
    <row r="54" spans="1:41" x14ac:dyDescent="0.3">
      <c r="A54" s="3" t="s">
        <v>97</v>
      </c>
      <c r="B54" s="3" t="s">
        <v>58</v>
      </c>
      <c r="C54" s="4">
        <v>0.13430000305175782</v>
      </c>
      <c r="D54" s="4">
        <v>0.18760000228881835</v>
      </c>
      <c r="E54" s="4">
        <v>0.11220000267028808</v>
      </c>
      <c r="F54" s="4">
        <v>0.10909999847412109</v>
      </c>
      <c r="G54" s="5">
        <v>62</v>
      </c>
      <c r="H54" s="5">
        <v>16.010000228881836</v>
      </c>
      <c r="I54" s="5">
        <v>0.55000001192092896</v>
      </c>
      <c r="J54" s="5">
        <v>12.869999885559082</v>
      </c>
      <c r="K54" s="5">
        <v>1.85</v>
      </c>
      <c r="L54" s="6">
        <v>6200</v>
      </c>
      <c r="M54" s="7" t="s">
        <v>98</v>
      </c>
      <c r="N54" s="6">
        <v>2021</v>
      </c>
      <c r="O54" s="3" t="s">
        <v>99</v>
      </c>
      <c r="P54" s="4">
        <v>0.99760002136230463</v>
      </c>
      <c r="Q54" s="4">
        <v>0</v>
      </c>
      <c r="R54" s="8">
        <v>4</v>
      </c>
      <c r="S54" s="5">
        <v>0.86000001430511475</v>
      </c>
      <c r="T54" s="5">
        <v>0.93000000715255737</v>
      </c>
      <c r="U54" s="16">
        <v>100</v>
      </c>
      <c r="V54" s="10">
        <v>109</v>
      </c>
      <c r="W54" s="11">
        <v>-0.12579999923706053</v>
      </c>
      <c r="X54" s="4">
        <v>-7.9600000381469721E-2</v>
      </c>
      <c r="Y54" s="4">
        <v>0.77389999389648434</v>
      </c>
      <c r="Z54" s="4">
        <v>0.15960000038146974</v>
      </c>
      <c r="AA54" s="4">
        <v>6.5999999046325683E-2</v>
      </c>
      <c r="AB54" s="4">
        <v>5.0000000745058064E-4</v>
      </c>
      <c r="AC54" s="4">
        <v>0.32669998168945313</v>
      </c>
      <c r="AD54" s="4">
        <v>0.11680000305175781</v>
      </c>
      <c r="AE54" s="4">
        <v>0.13979999542236329</v>
      </c>
      <c r="AF54" s="4">
        <v>9.2299995422363279E-2</v>
      </c>
      <c r="AG54" s="4">
        <v>3.130000114440918E-2</v>
      </c>
      <c r="AH54" s="4">
        <v>5.2699999809265138E-2</v>
      </c>
      <c r="AI54" s="4">
        <v>2.5000000000000001E-2</v>
      </c>
      <c r="AJ54" s="4">
        <v>8.1000003814697269E-2</v>
      </c>
      <c r="AK54" s="4">
        <v>0.10630000114440918</v>
      </c>
      <c r="AL54" s="4">
        <v>8.3999997377395622E-3</v>
      </c>
      <c r="AM54" s="4">
        <v>1.9800000190734864E-2</v>
      </c>
      <c r="AN54" s="12">
        <v>0</v>
      </c>
      <c r="AO54" s="13">
        <v>46322</v>
      </c>
    </row>
    <row r="55" spans="1:41" x14ac:dyDescent="0.3">
      <c r="A55" s="3" t="s">
        <v>103</v>
      </c>
      <c r="B55" s="3" t="s">
        <v>91</v>
      </c>
      <c r="C55" s="4">
        <v>0.25299999237060544</v>
      </c>
      <c r="D55" s="4">
        <v>0.1925</v>
      </c>
      <c r="E55" s="4">
        <v>0.11079999923706055</v>
      </c>
      <c r="F55" s="4">
        <v>0.11420000076293946</v>
      </c>
      <c r="G55" s="5">
        <v>61</v>
      </c>
      <c r="H55" s="5">
        <v>15.300000190734863</v>
      </c>
      <c r="I55" s="5">
        <v>0.44999998807907104</v>
      </c>
      <c r="J55" s="5">
        <v>11.869999885559082</v>
      </c>
      <c r="K55" s="5">
        <v>0.88</v>
      </c>
      <c r="L55" s="6">
        <v>3800</v>
      </c>
      <c r="M55" s="7" t="s">
        <v>104</v>
      </c>
      <c r="N55" s="6">
        <v>2018</v>
      </c>
      <c r="O55" s="3" t="s">
        <v>105</v>
      </c>
      <c r="P55" s="4">
        <v>0.97</v>
      </c>
      <c r="Q55" s="4">
        <v>3.9999999105930326E-4</v>
      </c>
      <c r="R55" s="8">
        <v>4</v>
      </c>
      <c r="S55" s="5">
        <v>-1.0099999904632568</v>
      </c>
      <c r="T55" s="5">
        <v>0.98000001907348633</v>
      </c>
      <c r="U55" s="10">
        <v>93</v>
      </c>
      <c r="V55" s="9">
        <v>96</v>
      </c>
      <c r="W55" s="14">
        <v>-0.14029999732971191</v>
      </c>
      <c r="X55" s="4">
        <v>-0.221299991607666</v>
      </c>
      <c r="Y55" s="4">
        <v>0.49259998321533205</v>
      </c>
      <c r="Z55" s="4">
        <v>0.31959999084472657</v>
      </c>
      <c r="AA55" s="4">
        <v>0.18530000686645509</v>
      </c>
      <c r="AB55" s="4">
        <v>2.5000000000000001E-3</v>
      </c>
      <c r="AC55" s="4">
        <v>0.22389999389648438</v>
      </c>
      <c r="AD55" s="4">
        <v>0.10840000152587891</v>
      </c>
      <c r="AE55" s="4">
        <v>0.17739999771118165</v>
      </c>
      <c r="AF55" s="4">
        <v>3.4300000667572023E-2</v>
      </c>
      <c r="AG55" s="4">
        <v>8.0600004196166988E-2</v>
      </c>
      <c r="AH55" s="4">
        <v>6.1999998092651366E-2</v>
      </c>
      <c r="AI55" s="4">
        <v>8.2299995422363284E-2</v>
      </c>
      <c r="AJ55" s="4">
        <v>0.1356999969482422</v>
      </c>
      <c r="AK55" s="4">
        <v>7.6700000762939452E-2</v>
      </c>
      <c r="AL55" s="4">
        <v>0</v>
      </c>
      <c r="AM55" s="4">
        <v>1.8600000143051146E-2</v>
      </c>
      <c r="AN55" s="12">
        <v>0</v>
      </c>
      <c r="AO55" s="13">
        <v>46322</v>
      </c>
    </row>
    <row r="56" spans="1:41" x14ac:dyDescent="0.3">
      <c r="A56" s="3" t="s">
        <v>100</v>
      </c>
      <c r="B56" s="3" t="s">
        <v>91</v>
      </c>
      <c r="C56" s="4">
        <v>0.17729999542236327</v>
      </c>
      <c r="D56" s="4">
        <v>0.17079999923706055</v>
      </c>
      <c r="E56" s="4">
        <v>0.11079999923706055</v>
      </c>
      <c r="G56" s="5">
        <v>48</v>
      </c>
      <c r="H56" s="5">
        <v>15.25</v>
      </c>
      <c r="I56" s="5">
        <v>0.43999999761581421</v>
      </c>
      <c r="J56" s="5">
        <v>9.5900001525878906</v>
      </c>
      <c r="K56" s="5">
        <v>1</v>
      </c>
      <c r="L56" s="6">
        <v>18800</v>
      </c>
      <c r="M56" s="7" t="s">
        <v>101</v>
      </c>
      <c r="N56" s="6">
        <v>2012</v>
      </c>
      <c r="O56" s="3" t="s">
        <v>102</v>
      </c>
      <c r="P56" s="4">
        <v>0.93050003051757813</v>
      </c>
      <c r="Q56" s="4">
        <v>2.0399999618530274E-2</v>
      </c>
      <c r="R56" s="8">
        <v>3</v>
      </c>
      <c r="S56" s="5">
        <v>-1.059999942779541</v>
      </c>
      <c r="T56" s="5">
        <v>0.87999999523162842</v>
      </c>
      <c r="U56" s="10">
        <v>84</v>
      </c>
      <c r="V56" s="9">
        <v>86</v>
      </c>
      <c r="W56" s="14">
        <v>-9.6800003051757816E-2</v>
      </c>
      <c r="X56" s="4">
        <v>-0.221299991607666</v>
      </c>
      <c r="Y56" s="4">
        <v>0.23590000152587889</v>
      </c>
      <c r="Z56" s="4">
        <v>0.63930000305175783</v>
      </c>
      <c r="AA56" s="4">
        <v>0.12479999542236328</v>
      </c>
      <c r="AB56" s="4">
        <v>0</v>
      </c>
      <c r="AC56" s="4">
        <v>0.12119999885559082</v>
      </c>
      <c r="AD56" s="4">
        <v>0.13579999923706054</v>
      </c>
      <c r="AE56" s="4">
        <v>0.16489999771118163</v>
      </c>
      <c r="AF56" s="4">
        <v>0</v>
      </c>
      <c r="AG56" s="4">
        <v>6.9000000953674312E-2</v>
      </c>
      <c r="AH56" s="4">
        <v>0.11399999618530274</v>
      </c>
      <c r="AI56" s="4">
        <v>0</v>
      </c>
      <c r="AJ56" s="4">
        <v>7.5799999237060545E-2</v>
      </c>
      <c r="AK56" s="4">
        <v>0.23180000305175782</v>
      </c>
      <c r="AL56" s="4">
        <v>0</v>
      </c>
      <c r="AM56" s="4">
        <v>8.7600002288818354E-2</v>
      </c>
      <c r="AN56" s="12">
        <v>0</v>
      </c>
      <c r="AO56" s="13">
        <v>46322</v>
      </c>
    </row>
    <row r="57" spans="1:41" x14ac:dyDescent="0.3">
      <c r="A57" s="3" t="s">
        <v>342</v>
      </c>
      <c r="B57" s="3" t="s">
        <v>323</v>
      </c>
      <c r="C57" s="4">
        <v>0.15680000305175781</v>
      </c>
      <c r="D57" s="4">
        <v>0.19200000762939454</v>
      </c>
      <c r="E57" s="4">
        <v>0.11</v>
      </c>
      <c r="F57" s="4">
        <v>0.10579999923706054</v>
      </c>
      <c r="G57" s="5">
        <v>60</v>
      </c>
      <c r="H57" s="5">
        <v>13.060000419616699</v>
      </c>
      <c r="I57" s="5">
        <v>0.80000001192092896</v>
      </c>
      <c r="J57" s="5">
        <v>12.590000152587891</v>
      </c>
      <c r="K57" s="5">
        <v>0.49</v>
      </c>
      <c r="L57" s="6">
        <v>1400</v>
      </c>
      <c r="M57" s="7" t="s">
        <v>343</v>
      </c>
      <c r="N57" s="6">
        <v>2016</v>
      </c>
      <c r="O57" s="3" t="s">
        <v>344</v>
      </c>
      <c r="P57" s="4">
        <v>0.98529998779296879</v>
      </c>
      <c r="Q57" s="4">
        <v>0</v>
      </c>
      <c r="R57" s="8">
        <v>5</v>
      </c>
      <c r="S57" s="5">
        <v>1.8600000143051147</v>
      </c>
      <c r="T57" s="5">
        <v>0.99000000953674316</v>
      </c>
      <c r="U57" s="9">
        <v>103</v>
      </c>
      <c r="V57" s="9">
        <v>92</v>
      </c>
      <c r="W57" s="14">
        <v>-0.15760000228881835</v>
      </c>
      <c r="X57" s="4">
        <v>-0.20540000915527343</v>
      </c>
      <c r="Y57" s="4">
        <v>2.9800000190734862E-2</v>
      </c>
      <c r="Z57" s="4">
        <v>0.97029998779296878</v>
      </c>
      <c r="AA57" s="4">
        <v>0</v>
      </c>
      <c r="AB57" s="4">
        <v>0</v>
      </c>
      <c r="AC57" s="4">
        <v>9.5699996948242189E-2</v>
      </c>
      <c r="AD57" s="4">
        <v>0.13329999923706054</v>
      </c>
      <c r="AE57" s="4">
        <v>0.25420000076293947</v>
      </c>
      <c r="AF57" s="4">
        <v>2.8599998950958251E-2</v>
      </c>
      <c r="AG57" s="4">
        <v>5.5500001907348634E-2</v>
      </c>
      <c r="AH57" s="4">
        <v>8.4499998092651366E-2</v>
      </c>
      <c r="AI57" s="4">
        <v>5.7500000000000002E-2</v>
      </c>
      <c r="AJ57" s="4">
        <v>7.0100002288818353E-2</v>
      </c>
      <c r="AK57" s="4">
        <v>0.17780000686645508</v>
      </c>
      <c r="AL57" s="4">
        <v>3.7999999523162841E-3</v>
      </c>
      <c r="AM57" s="4">
        <v>3.9000000953674313E-2</v>
      </c>
      <c r="AN57" s="12">
        <v>0</v>
      </c>
      <c r="AO57" s="13">
        <v>46322</v>
      </c>
    </row>
    <row r="58" spans="1:41" x14ac:dyDescent="0.3">
      <c r="A58" s="3" t="s">
        <v>106</v>
      </c>
      <c r="B58" s="3" t="s">
        <v>84</v>
      </c>
      <c r="C58" s="4">
        <v>0.20690000534057618</v>
      </c>
      <c r="D58" s="4">
        <v>0.21409999847412109</v>
      </c>
      <c r="E58" s="4">
        <v>0.10819999694824219</v>
      </c>
      <c r="F58" s="4">
        <v>0.11479999542236329</v>
      </c>
      <c r="G58" s="5">
        <v>68</v>
      </c>
      <c r="H58" s="5">
        <v>14.739999771118164</v>
      </c>
      <c r="I58" s="5">
        <v>0.41999998688697815</v>
      </c>
      <c r="J58" s="5">
        <v>16.180000305175781</v>
      </c>
      <c r="K58" s="5">
        <v>0.67</v>
      </c>
      <c r="L58" s="6">
        <v>3200</v>
      </c>
      <c r="M58" s="7" t="s">
        <v>107</v>
      </c>
      <c r="N58" s="6">
        <v>2007</v>
      </c>
      <c r="O58" s="3" t="s">
        <v>108</v>
      </c>
      <c r="P58" s="4">
        <v>0.99830001831054682</v>
      </c>
      <c r="Q58" s="4">
        <v>0</v>
      </c>
      <c r="R58" s="8">
        <v>5</v>
      </c>
      <c r="S58" s="5">
        <v>3.369999885559082</v>
      </c>
      <c r="T58" s="5">
        <v>1.059999942779541</v>
      </c>
      <c r="U58" s="9">
        <v>122</v>
      </c>
      <c r="V58" s="10">
        <v>121</v>
      </c>
      <c r="W58" s="11">
        <v>-0.16440000534057617</v>
      </c>
      <c r="X58" s="4">
        <v>-0.11140000343322753</v>
      </c>
      <c r="Y58" s="4">
        <v>0.69800003051757809</v>
      </c>
      <c r="Z58" s="4">
        <v>0.13229999542236329</v>
      </c>
      <c r="AA58" s="4">
        <v>0.1509000015258789</v>
      </c>
      <c r="AB58" s="4">
        <v>1.8799999952316283E-2</v>
      </c>
      <c r="AC58" s="4">
        <v>0.15119999885559082</v>
      </c>
      <c r="AD58" s="4">
        <v>0.10369999885559082</v>
      </c>
      <c r="AE58" s="4">
        <v>0.1615999984741211</v>
      </c>
      <c r="AF58" s="4">
        <v>4.0100002288818361E-2</v>
      </c>
      <c r="AG58" s="4">
        <v>0.08</v>
      </c>
      <c r="AH58" s="4">
        <v>1.4600000381469726E-2</v>
      </c>
      <c r="AI58" s="4">
        <v>4.6999998092651367E-2</v>
      </c>
      <c r="AJ58" s="4">
        <v>0.13079999923706054</v>
      </c>
      <c r="AK58" s="4">
        <v>0.20049999237060548</v>
      </c>
      <c r="AL58" s="4">
        <v>6.3400001525878907E-2</v>
      </c>
      <c r="AM58" s="4">
        <v>6.9999998807907101E-3</v>
      </c>
      <c r="AN58" s="12">
        <v>0</v>
      </c>
      <c r="AO58" s="13">
        <v>46322</v>
      </c>
    </row>
    <row r="59" spans="1:41" x14ac:dyDescent="0.3">
      <c r="A59" s="3" t="s">
        <v>109</v>
      </c>
      <c r="B59" s="3" t="s">
        <v>68</v>
      </c>
      <c r="C59" s="4">
        <v>0.14899999618530274</v>
      </c>
      <c r="D59" s="4">
        <v>0.27420000076293943</v>
      </c>
      <c r="E59" s="4">
        <v>0.10819999694824219</v>
      </c>
      <c r="G59" s="5">
        <v>84</v>
      </c>
      <c r="H59" s="5">
        <v>23.719999313354492</v>
      </c>
      <c r="I59" s="5">
        <v>0.50999999046325684</v>
      </c>
      <c r="J59" s="5">
        <v>23.579999923706055</v>
      </c>
      <c r="K59" s="5">
        <v>1.24</v>
      </c>
      <c r="L59" s="6">
        <v>470</v>
      </c>
      <c r="M59" s="7" t="s">
        <v>110</v>
      </c>
      <c r="N59" s="6">
        <v>2020</v>
      </c>
      <c r="O59" s="3" t="s">
        <v>111</v>
      </c>
      <c r="P59" s="4">
        <v>0.82699996948242183</v>
      </c>
      <c r="Q59" s="4">
        <v>0</v>
      </c>
      <c r="R59" s="8">
        <v>5</v>
      </c>
      <c r="S59" s="5">
        <v>4.179999828338623</v>
      </c>
      <c r="T59" s="5">
        <v>1.2400000095367432</v>
      </c>
      <c r="U59" s="9">
        <v>130</v>
      </c>
      <c r="V59" s="10">
        <v>121</v>
      </c>
      <c r="W59" s="14">
        <v>-0.32330001831054689</v>
      </c>
      <c r="X59" s="4">
        <v>-0.3306999969482422</v>
      </c>
      <c r="Y59" s="4">
        <v>0.75699996948242188</v>
      </c>
      <c r="Z59" s="4">
        <v>0.24299999237060546</v>
      </c>
      <c r="AA59" s="4">
        <v>0</v>
      </c>
      <c r="AB59" s="4">
        <v>0</v>
      </c>
      <c r="AC59" s="4">
        <v>0.19170000076293944</v>
      </c>
      <c r="AD59" s="4">
        <v>0.10489999771118164</v>
      </c>
      <c r="AE59" s="4">
        <v>0.11890000343322754</v>
      </c>
      <c r="AF59" s="4">
        <v>5.4200000762939453E-2</v>
      </c>
      <c r="AG59" s="4">
        <v>6.3099999427795414E-2</v>
      </c>
      <c r="AH59" s="4">
        <v>0</v>
      </c>
      <c r="AI59" s="4">
        <v>1.9600000381469727E-2</v>
      </c>
      <c r="AJ59" s="4">
        <v>7.6399998664855959E-2</v>
      </c>
      <c r="AK59" s="4">
        <v>0.37119998931884768</v>
      </c>
      <c r="AL59" s="4">
        <v>0</v>
      </c>
      <c r="AM59" s="4">
        <v>0</v>
      </c>
      <c r="AN59" s="12">
        <v>0</v>
      </c>
      <c r="AO59" s="13">
        <v>46322</v>
      </c>
    </row>
    <row r="60" spans="1:41" x14ac:dyDescent="0.3">
      <c r="A60" s="3" t="s">
        <v>345</v>
      </c>
      <c r="B60" s="3" t="s">
        <v>346</v>
      </c>
      <c r="C60" s="4">
        <v>8.7499999999999994E-2</v>
      </c>
      <c r="D60" s="4">
        <v>0.20049999237060548</v>
      </c>
      <c r="E60" s="4">
        <v>0.108100004196167</v>
      </c>
      <c r="F60" s="4">
        <v>0.105600004196167</v>
      </c>
      <c r="G60" s="5">
        <v>68</v>
      </c>
      <c r="H60" s="5">
        <v>12.840000152587891</v>
      </c>
      <c r="I60" s="5">
        <v>0.77999997138977051</v>
      </c>
      <c r="J60" s="5">
        <v>14.210000038146973</v>
      </c>
      <c r="K60" s="5">
        <v>0.95</v>
      </c>
      <c r="L60" s="6">
        <v>401</v>
      </c>
      <c r="M60" s="7" t="s">
        <v>347</v>
      </c>
      <c r="N60" s="6">
        <v>2011</v>
      </c>
      <c r="O60" s="3" t="s">
        <v>348</v>
      </c>
      <c r="P60" s="4">
        <v>0.15850000381469725</v>
      </c>
      <c r="Q60" s="4">
        <v>2.5899999141693116E-2</v>
      </c>
      <c r="R60" s="8">
        <v>5</v>
      </c>
      <c r="S60" s="5">
        <v>2.309999942779541</v>
      </c>
      <c r="T60" s="5">
        <v>0.97000002861022949</v>
      </c>
      <c r="U60" s="9">
        <v>105</v>
      </c>
      <c r="V60" s="9">
        <v>84</v>
      </c>
      <c r="W60" s="14">
        <v>-7.8200001716613773E-2</v>
      </c>
      <c r="X60" s="4">
        <v>-8.630000114440918E-2</v>
      </c>
      <c r="Y60" s="4">
        <v>1.1399999856948853E-2</v>
      </c>
      <c r="Z60" s="4">
        <v>0.98870002746582031</v>
      </c>
      <c r="AA60" s="4">
        <v>0</v>
      </c>
      <c r="AB60" s="4">
        <v>0</v>
      </c>
      <c r="AC60" s="4">
        <v>0.191299991607666</v>
      </c>
      <c r="AD60" s="4">
        <v>4.5399999618530272E-2</v>
      </c>
      <c r="AE60" s="4">
        <v>0.35840000152587892</v>
      </c>
      <c r="AF60" s="4">
        <v>3.4999999403953551E-3</v>
      </c>
      <c r="AG60" s="4">
        <v>6.0999999046325686E-2</v>
      </c>
      <c r="AH60" s="4">
        <v>0</v>
      </c>
      <c r="AI60" s="4">
        <v>1.8300000429153442E-2</v>
      </c>
      <c r="AJ60" s="4">
        <v>8.2299995422363284E-2</v>
      </c>
      <c r="AK60" s="4">
        <v>0.17270000457763671</v>
      </c>
      <c r="AL60" s="4">
        <v>0</v>
      </c>
      <c r="AM60" s="4">
        <v>6.6999998092651364E-2</v>
      </c>
      <c r="AN60" s="12">
        <v>0</v>
      </c>
      <c r="AO60" s="13">
        <v>46322</v>
      </c>
    </row>
    <row r="61" spans="1:41" x14ac:dyDescent="0.3">
      <c r="A61" s="17" t="s">
        <v>349</v>
      </c>
      <c r="B61" s="3" t="s">
        <v>346</v>
      </c>
      <c r="C61" s="4">
        <v>0.10279999732971191</v>
      </c>
      <c r="D61" s="4">
        <v>0.18059999465942383</v>
      </c>
      <c r="E61" s="4">
        <v>0.10800000190734864</v>
      </c>
      <c r="F61" s="4">
        <v>0.1015999984741211</v>
      </c>
      <c r="G61" s="5">
        <v>68</v>
      </c>
      <c r="H61" s="5">
        <v>14.039999961853027</v>
      </c>
      <c r="I61" s="5">
        <v>0.72000002861022949</v>
      </c>
      <c r="J61" s="5">
        <v>14.989999771118164</v>
      </c>
      <c r="K61" s="5">
        <v>0.2</v>
      </c>
      <c r="L61" s="6">
        <v>833</v>
      </c>
      <c r="M61" s="7" t="s">
        <v>149</v>
      </c>
      <c r="N61" s="6">
        <v>2017</v>
      </c>
      <c r="O61" s="3" t="s">
        <v>350</v>
      </c>
      <c r="P61" s="4">
        <v>0.94930000305175777</v>
      </c>
      <c r="Q61" s="4">
        <v>5.5000001192092897E-3</v>
      </c>
      <c r="R61" s="8">
        <v>5</v>
      </c>
      <c r="S61" s="5">
        <v>1.25</v>
      </c>
      <c r="T61" s="5">
        <v>1.0499999523162842</v>
      </c>
      <c r="U61" s="9">
        <v>103</v>
      </c>
      <c r="V61" s="10">
        <v>103</v>
      </c>
      <c r="W61" s="11">
        <v>-9.1099996566772465E-2</v>
      </c>
      <c r="X61" s="4">
        <v>-8.630000114440918E-2</v>
      </c>
      <c r="Y61" s="4">
        <v>9.7000002861022949E-3</v>
      </c>
      <c r="Z61" s="4">
        <v>0.99029998779296879</v>
      </c>
      <c r="AA61" s="4">
        <v>0</v>
      </c>
      <c r="AB61" s="4">
        <v>0</v>
      </c>
      <c r="AC61" s="4">
        <v>0.18260000228881837</v>
      </c>
      <c r="AD61" s="4">
        <v>3.880000114440918E-2</v>
      </c>
      <c r="AE61" s="4">
        <v>0.28069999694824221</v>
      </c>
      <c r="AF61" s="4">
        <v>2.1199998855590822E-2</v>
      </c>
      <c r="AG61" s="4">
        <v>3.509999990463257E-2</v>
      </c>
      <c r="AH61" s="4">
        <v>5.070000171661377E-2</v>
      </c>
      <c r="AI61" s="4">
        <v>4.6599998474121093E-2</v>
      </c>
      <c r="AJ61" s="4">
        <v>7.9200000762939454E-2</v>
      </c>
      <c r="AK61" s="4">
        <v>0.20219999313354492</v>
      </c>
      <c r="AL61" s="4">
        <v>0</v>
      </c>
      <c r="AM61" s="4">
        <v>6.3000001907348627E-2</v>
      </c>
      <c r="AN61" s="12">
        <v>0</v>
      </c>
      <c r="AO61" s="13">
        <v>46322</v>
      </c>
    </row>
    <row r="62" spans="1:41" x14ac:dyDescent="0.3">
      <c r="A62" s="3" t="s">
        <v>112</v>
      </c>
      <c r="B62" s="3" t="s">
        <v>71</v>
      </c>
      <c r="C62" s="4">
        <v>0.24020000457763671</v>
      </c>
      <c r="D62" s="4">
        <v>9.9099998474121098E-2</v>
      </c>
      <c r="E62" s="4">
        <v>0.10789999961853028</v>
      </c>
      <c r="F62" s="4">
        <v>0.12</v>
      </c>
      <c r="G62" s="5">
        <v>78</v>
      </c>
      <c r="H62" s="5">
        <v>10.609999656677246</v>
      </c>
      <c r="I62" s="5">
        <v>0.2800000011920929</v>
      </c>
      <c r="J62" s="5">
        <v>15.430000305175781</v>
      </c>
      <c r="K62" s="5">
        <v>1.1000000000000001</v>
      </c>
      <c r="L62" s="6">
        <v>1000</v>
      </c>
      <c r="M62" s="7" t="s">
        <v>113</v>
      </c>
      <c r="N62" s="6">
        <v>2013</v>
      </c>
      <c r="O62" s="3" t="s">
        <v>114</v>
      </c>
      <c r="P62" s="4">
        <v>0.81730003356933589</v>
      </c>
      <c r="Q62" s="4">
        <v>1.3799999952316283E-2</v>
      </c>
      <c r="R62" s="8">
        <v>3</v>
      </c>
      <c r="S62" s="5">
        <v>1.2300000190734863</v>
      </c>
      <c r="T62" s="5">
        <v>0.56999999284744263</v>
      </c>
      <c r="U62" s="10">
        <v>59</v>
      </c>
      <c r="V62" s="9">
        <v>48</v>
      </c>
      <c r="W62" s="14">
        <v>-0.14710000038146973</v>
      </c>
      <c r="X62" s="4">
        <v>-0.29219999313354494</v>
      </c>
      <c r="Y62" s="4">
        <v>0.2577000045776367</v>
      </c>
      <c r="Z62" s="4">
        <v>0.47880001068115235</v>
      </c>
      <c r="AA62" s="4">
        <v>2.4700000286102294E-2</v>
      </c>
      <c r="AB62" s="4">
        <v>0.23870000839233399</v>
      </c>
      <c r="AC62" s="4">
        <v>0.115</v>
      </c>
      <c r="AD62" s="4">
        <v>0.21409999847412109</v>
      </c>
      <c r="AE62" s="4">
        <v>1.3300000429153443E-2</v>
      </c>
      <c r="AF62" s="4">
        <v>5.1399998664855957E-2</v>
      </c>
      <c r="AG62" s="4">
        <v>1.4999999999999999E-2</v>
      </c>
      <c r="AH62" s="4">
        <v>0.19579999923706054</v>
      </c>
      <c r="AI62" s="4">
        <v>0.13680000305175782</v>
      </c>
      <c r="AJ62" s="4">
        <v>0.16120000839233398</v>
      </c>
      <c r="AK62" s="4">
        <v>6.8400001525878912E-2</v>
      </c>
      <c r="AL62" s="4">
        <v>2.9000000953674318E-2</v>
      </c>
      <c r="AM62" s="4">
        <v>0</v>
      </c>
      <c r="AN62" s="12">
        <v>4.4487737119197845E-2</v>
      </c>
      <c r="AO62" s="13">
        <v>46322</v>
      </c>
    </row>
    <row r="63" spans="1:41" x14ac:dyDescent="0.3">
      <c r="A63" s="3" t="s">
        <v>115</v>
      </c>
      <c r="B63" s="3" t="s">
        <v>68</v>
      </c>
      <c r="C63" s="4">
        <v>0.12260000228881836</v>
      </c>
      <c r="D63" s="4">
        <v>0.19340000152587891</v>
      </c>
      <c r="E63" s="4">
        <v>0.10789999961853028</v>
      </c>
      <c r="F63" s="4">
        <v>0.14350000381469727</v>
      </c>
      <c r="G63" s="5">
        <v>69</v>
      </c>
      <c r="H63" s="5">
        <v>20.829999923706055</v>
      </c>
      <c r="I63" s="5">
        <v>0.43000000715255737</v>
      </c>
      <c r="J63" s="5">
        <v>16.790000915527344</v>
      </c>
      <c r="K63" s="5">
        <v>0.79</v>
      </c>
      <c r="L63" s="6">
        <v>1200</v>
      </c>
      <c r="M63" s="7" t="s">
        <v>116</v>
      </c>
      <c r="N63" s="6">
        <v>2014</v>
      </c>
      <c r="O63" s="3" t="s">
        <v>117</v>
      </c>
      <c r="P63" s="4">
        <v>0.98660003662109375</v>
      </c>
      <c r="Q63" s="4">
        <v>0</v>
      </c>
      <c r="R63" s="8">
        <v>5</v>
      </c>
      <c r="S63" s="5">
        <v>1.2899999618530273</v>
      </c>
      <c r="T63" s="5">
        <v>0.97000002861022949</v>
      </c>
      <c r="U63" s="16">
        <v>100</v>
      </c>
      <c r="V63" s="9">
        <v>95</v>
      </c>
      <c r="W63" s="14">
        <v>-0.24979999542236328</v>
      </c>
      <c r="X63" s="4">
        <v>-0.3306999969482422</v>
      </c>
      <c r="Y63" s="4">
        <v>0.78680000305175779</v>
      </c>
      <c r="Z63" s="4">
        <v>0.12149999618530273</v>
      </c>
      <c r="AA63" s="4">
        <v>3.7000000476837158E-2</v>
      </c>
      <c r="AB63" s="4">
        <v>5.480000019073486E-2</v>
      </c>
      <c r="AC63" s="4">
        <v>0.42490001678466799</v>
      </c>
      <c r="AD63" s="4">
        <v>0.13149999618530273</v>
      </c>
      <c r="AE63" s="4">
        <v>0.16360000610351563</v>
      </c>
      <c r="AF63" s="4">
        <v>0.11869999885559082</v>
      </c>
      <c r="AG63" s="4">
        <v>0</v>
      </c>
      <c r="AH63" s="4">
        <v>0</v>
      </c>
      <c r="AI63" s="4">
        <v>0</v>
      </c>
      <c r="AJ63" s="4">
        <v>6.5399999618530269E-2</v>
      </c>
      <c r="AK63" s="4">
        <v>9.5900001525878908E-2</v>
      </c>
      <c r="AL63" s="4">
        <v>0</v>
      </c>
      <c r="AM63" s="4">
        <v>0</v>
      </c>
      <c r="AN63" s="12">
        <v>0</v>
      </c>
      <c r="AO63" s="13">
        <v>46322</v>
      </c>
    </row>
    <row r="64" spans="1:41" x14ac:dyDescent="0.3">
      <c r="A64" s="3" t="s">
        <v>122</v>
      </c>
      <c r="B64" s="3" t="s">
        <v>41</v>
      </c>
      <c r="C64" s="4">
        <v>0.18190000534057618</v>
      </c>
      <c r="D64" s="4">
        <v>0.15770000457763672</v>
      </c>
      <c r="E64" s="4">
        <v>0.10739999771118164</v>
      </c>
      <c r="F64" s="4">
        <v>0.10770000457763672</v>
      </c>
      <c r="G64" s="5">
        <v>60</v>
      </c>
      <c r="H64" s="5">
        <v>12.409999847412109</v>
      </c>
      <c r="I64" s="5">
        <v>0.43000000715255737</v>
      </c>
      <c r="J64" s="5">
        <v>12.149999618530273</v>
      </c>
      <c r="K64" s="5">
        <v>0.63</v>
      </c>
      <c r="L64" s="6">
        <v>7500</v>
      </c>
      <c r="M64" s="7" t="s">
        <v>123</v>
      </c>
      <c r="N64" s="6">
        <v>2009</v>
      </c>
      <c r="O64" s="3" t="s">
        <v>124</v>
      </c>
      <c r="P64" s="4">
        <v>0.97760002136230473</v>
      </c>
      <c r="Q64" s="4">
        <v>0</v>
      </c>
      <c r="R64" s="8">
        <v>3</v>
      </c>
      <c r="S64" s="5">
        <v>-2.380000114440918</v>
      </c>
      <c r="T64" s="5">
        <v>1.0700000524520874</v>
      </c>
      <c r="U64" s="10">
        <v>99</v>
      </c>
      <c r="V64" s="10">
        <v>112</v>
      </c>
      <c r="W64" s="14">
        <v>-0.10050000190734863</v>
      </c>
      <c r="X64" s="4">
        <v>-0.22590000152587891</v>
      </c>
      <c r="Y64" s="4">
        <v>0.58040000915527346</v>
      </c>
      <c r="Z64" s="4">
        <v>0.20959999084472655</v>
      </c>
      <c r="AA64" s="4">
        <v>0.1165999984741211</v>
      </c>
      <c r="AB64" s="4">
        <v>9.3400001525878906E-2</v>
      </c>
      <c r="AC64" s="4">
        <v>0.18790000915527344</v>
      </c>
      <c r="AD64" s="4">
        <v>0.20350000381469727</v>
      </c>
      <c r="AE64" s="4">
        <v>0.22229999542236328</v>
      </c>
      <c r="AF64" s="4">
        <v>8.8400001525878902E-2</v>
      </c>
      <c r="AG64" s="4">
        <v>5.4299998283386233E-2</v>
      </c>
      <c r="AH64" s="4">
        <v>1.7200000286102295E-2</v>
      </c>
      <c r="AI64" s="4">
        <v>4.2699999809265136E-2</v>
      </c>
      <c r="AJ64" s="4">
        <v>7.6500000953674319E-2</v>
      </c>
      <c r="AK64" s="4">
        <v>9.2100000381469732E-2</v>
      </c>
      <c r="AL64" s="4">
        <v>9.7000002861022949E-3</v>
      </c>
      <c r="AM64" s="4">
        <v>5.2999997138977054E-3</v>
      </c>
      <c r="AN64" s="12">
        <v>0</v>
      </c>
      <c r="AO64" s="13">
        <v>46322</v>
      </c>
    </row>
    <row r="65" spans="1:41" x14ac:dyDescent="0.3">
      <c r="A65" s="18" t="s">
        <v>118</v>
      </c>
      <c r="B65" s="3" t="s">
        <v>119</v>
      </c>
      <c r="C65" s="4">
        <v>9.7100000381469723E-2</v>
      </c>
      <c r="D65" s="4">
        <v>0.1418000030517578</v>
      </c>
      <c r="E65" s="4">
        <v>0.10739999771118164</v>
      </c>
      <c r="F65" s="15">
        <v>0.10720000267028809</v>
      </c>
      <c r="G65" s="5">
        <v>46</v>
      </c>
      <c r="H65" s="5">
        <v>13.079999923706055</v>
      </c>
      <c r="I65" s="5">
        <v>0.93000000715255737</v>
      </c>
      <c r="J65" s="5">
        <v>9.369999885559082</v>
      </c>
      <c r="K65" s="5">
        <v>1.38</v>
      </c>
      <c r="L65" s="6">
        <v>169</v>
      </c>
      <c r="M65" s="7" t="s">
        <v>120</v>
      </c>
      <c r="N65" s="6">
        <v>2014</v>
      </c>
      <c r="O65" s="3" t="s">
        <v>121</v>
      </c>
      <c r="P65" s="4">
        <v>0.69150001525878901</v>
      </c>
      <c r="Q65" s="4">
        <v>0.25139999389648438</v>
      </c>
      <c r="R65" s="8">
        <v>5</v>
      </c>
      <c r="S65" s="5">
        <v>6.2399997711181641</v>
      </c>
      <c r="T65" s="5">
        <v>0.79000002145767212</v>
      </c>
      <c r="U65" s="9">
        <v>104</v>
      </c>
      <c r="V65" s="9">
        <v>44</v>
      </c>
      <c r="W65" s="14">
        <v>-6.650000095367431E-2</v>
      </c>
      <c r="X65" s="4">
        <v>-0.13649999618530273</v>
      </c>
      <c r="Y65" s="4">
        <v>0.24780000686645509</v>
      </c>
      <c r="Z65" s="4">
        <v>0.58009998321533207</v>
      </c>
      <c r="AA65" s="4">
        <v>0</v>
      </c>
      <c r="AB65" s="4">
        <v>0.17229999542236329</v>
      </c>
      <c r="AC65" s="4">
        <v>0.19969999313354492</v>
      </c>
      <c r="AD65" s="4">
        <v>9.800000190734863E-2</v>
      </c>
      <c r="AE65" s="4">
        <v>0.11100000381469727</v>
      </c>
      <c r="AF65" s="4">
        <v>3.5799999237060544E-2</v>
      </c>
      <c r="AG65" s="4">
        <v>6.8299999237060552E-2</v>
      </c>
      <c r="AH65" s="4">
        <v>2.2799999713897706E-2</v>
      </c>
      <c r="AI65" s="4">
        <v>0</v>
      </c>
      <c r="AJ65" s="4">
        <v>0.23129999160766601</v>
      </c>
      <c r="AK65" s="4">
        <v>0.20219999313354492</v>
      </c>
      <c r="AL65" s="4">
        <v>3.0899999141693116E-2</v>
      </c>
      <c r="AM65" s="4">
        <v>0</v>
      </c>
      <c r="AN65" s="12">
        <v>0.16456882655620575</v>
      </c>
      <c r="AO65" s="13">
        <v>46322</v>
      </c>
    </row>
    <row r="66" spans="1:41" x14ac:dyDescent="0.3">
      <c r="A66" s="3" t="s">
        <v>260</v>
      </c>
      <c r="B66" s="3" t="s">
        <v>242</v>
      </c>
      <c r="C66" s="4">
        <v>0.145600004196167</v>
      </c>
      <c r="D66" s="4">
        <v>0.14380000114440919</v>
      </c>
      <c r="E66" s="4">
        <v>0.10710000038146973</v>
      </c>
      <c r="F66" s="4">
        <v>9.8599996566772458E-2</v>
      </c>
      <c r="G66" s="5">
        <v>79</v>
      </c>
      <c r="H66" s="5">
        <v>14.510000228881836</v>
      </c>
      <c r="I66" s="5">
        <v>0.62000000476837158</v>
      </c>
      <c r="J66" s="5">
        <v>16.399999618530273</v>
      </c>
      <c r="K66" s="5">
        <v>1.8</v>
      </c>
      <c r="L66" s="6">
        <v>1500</v>
      </c>
      <c r="M66" s="7" t="s">
        <v>261</v>
      </c>
      <c r="N66" s="6">
        <v>2015</v>
      </c>
      <c r="O66" s="3" t="s">
        <v>262</v>
      </c>
      <c r="P66" s="4">
        <v>0.93540000915527344</v>
      </c>
      <c r="Q66" s="4">
        <v>0</v>
      </c>
      <c r="R66" s="8">
        <v>4</v>
      </c>
      <c r="S66" s="5">
        <v>1.1599999666213989</v>
      </c>
      <c r="T66" s="5">
        <v>1.0800000429153442</v>
      </c>
      <c r="U66" s="9">
        <v>107</v>
      </c>
      <c r="V66" s="10">
        <v>102</v>
      </c>
      <c r="W66" s="14">
        <v>-0.15260000228881837</v>
      </c>
      <c r="X66" s="4">
        <v>-0.24530000686645509</v>
      </c>
      <c r="Y66" s="4">
        <v>9.6899995803833003E-2</v>
      </c>
      <c r="Z66" s="4">
        <v>0.85809997558593754</v>
      </c>
      <c r="AA66" s="4">
        <v>0</v>
      </c>
      <c r="AB66" s="4">
        <v>4.4899997711181638E-2</v>
      </c>
      <c r="AC66" s="4">
        <v>4.309999942779541E-2</v>
      </c>
      <c r="AD66" s="4">
        <v>0</v>
      </c>
      <c r="AE66" s="4">
        <v>2.1900000572204589E-2</v>
      </c>
      <c r="AF66" s="4">
        <v>1.9199999570846556E-2</v>
      </c>
      <c r="AG66" s="4">
        <v>0.3178000068664551</v>
      </c>
      <c r="AH66" s="4">
        <v>4.3299999237060544E-2</v>
      </c>
      <c r="AI66" s="4">
        <v>7.4800000190734864E-2</v>
      </c>
      <c r="AJ66" s="4">
        <v>0.16590000152587892</v>
      </c>
      <c r="AK66" s="4">
        <v>0.31399999618530272</v>
      </c>
      <c r="AL66" s="4">
        <v>0</v>
      </c>
      <c r="AM66" s="4">
        <v>0</v>
      </c>
      <c r="AN66" s="12">
        <v>0</v>
      </c>
      <c r="AO66" s="13">
        <v>46322</v>
      </c>
    </row>
    <row r="67" spans="1:41" x14ac:dyDescent="0.3">
      <c r="A67" s="3" t="s">
        <v>425</v>
      </c>
      <c r="B67" s="3" t="s">
        <v>418</v>
      </c>
      <c r="C67" s="4">
        <v>0.26790000915527346</v>
      </c>
      <c r="D67" s="4">
        <v>0.23709999084472655</v>
      </c>
      <c r="E67" s="15">
        <v>0.10710000038146973</v>
      </c>
      <c r="G67" s="5">
        <v>72</v>
      </c>
      <c r="H67" s="5">
        <v>8.7899999618530273</v>
      </c>
      <c r="I67" s="5">
        <v>1.2999999523162842</v>
      </c>
      <c r="J67" s="5">
        <v>13.180000305175781</v>
      </c>
      <c r="K67" s="5">
        <v>0.91</v>
      </c>
      <c r="L67" s="6">
        <v>3100</v>
      </c>
      <c r="M67" s="7" t="s">
        <v>426</v>
      </c>
      <c r="N67" s="6">
        <v>2018</v>
      </c>
      <c r="O67" s="3" t="s">
        <v>427</v>
      </c>
      <c r="P67" s="4">
        <v>0.96720001220703122</v>
      </c>
      <c r="Q67" s="4">
        <v>1.9999999552965163E-4</v>
      </c>
      <c r="R67" s="8">
        <v>4</v>
      </c>
      <c r="S67" s="5">
        <v>5.559999942779541</v>
      </c>
      <c r="T67" s="5">
        <v>0.82999998331069946</v>
      </c>
      <c r="U67" s="16">
        <v>100</v>
      </c>
      <c r="V67" s="9">
        <v>79</v>
      </c>
      <c r="W67" s="14">
        <v>-9.2499999999999999E-2</v>
      </c>
      <c r="X67" s="4">
        <v>-0.12350000381469727</v>
      </c>
      <c r="Y67" s="4">
        <v>9.3999999761581413E-3</v>
      </c>
      <c r="Z67" s="4">
        <v>2.2000000476837159E-2</v>
      </c>
      <c r="AA67" s="4">
        <v>0.43669998168945312</v>
      </c>
      <c r="AB67" s="4">
        <v>0.53200000762939448</v>
      </c>
      <c r="AC67" s="4">
        <v>0.33939998626708984</v>
      </c>
      <c r="AD67" s="4">
        <v>8.0000001192092902E-3</v>
      </c>
      <c r="AE67" s="4">
        <v>0.22229999542236328</v>
      </c>
      <c r="AF67" s="4">
        <v>7.7100000381469733E-2</v>
      </c>
      <c r="AG67" s="4">
        <v>8.2399997711181644E-2</v>
      </c>
      <c r="AH67" s="4">
        <v>9.0500001907348637E-2</v>
      </c>
      <c r="AI67" s="4">
        <v>5.4099998474121093E-2</v>
      </c>
      <c r="AJ67" s="4">
        <v>8.0100002288818362E-2</v>
      </c>
      <c r="AK67" s="4">
        <v>3.7699999809265139E-2</v>
      </c>
      <c r="AL67" s="4">
        <v>0</v>
      </c>
      <c r="AM67" s="4">
        <v>8.2999998331069955E-3</v>
      </c>
      <c r="AN67" s="12">
        <v>0</v>
      </c>
      <c r="AO67" s="13">
        <v>46322</v>
      </c>
    </row>
    <row r="68" spans="1:41" x14ac:dyDescent="0.3">
      <c r="A68" s="3" t="s">
        <v>351</v>
      </c>
      <c r="B68" s="3" t="s">
        <v>323</v>
      </c>
      <c r="C68" s="4">
        <v>0.14300000190734863</v>
      </c>
      <c r="D68" s="4">
        <v>0.17639999389648436</v>
      </c>
      <c r="E68" s="4">
        <v>0.10710000038146973</v>
      </c>
      <c r="F68" s="4">
        <v>9.8900003433227537E-2</v>
      </c>
      <c r="G68" s="5">
        <v>64</v>
      </c>
      <c r="H68" s="5">
        <v>14.819999694824219</v>
      </c>
      <c r="I68" s="5">
        <v>0.75999999046325684</v>
      </c>
      <c r="J68" s="5">
        <v>12.239999771118164</v>
      </c>
      <c r="K68" s="5">
        <v>0.61</v>
      </c>
      <c r="L68" s="6">
        <v>1200</v>
      </c>
      <c r="M68" s="7" t="s">
        <v>352</v>
      </c>
      <c r="N68" s="6">
        <v>2019</v>
      </c>
      <c r="O68" s="3" t="s">
        <v>353</v>
      </c>
      <c r="P68" s="4">
        <v>1.0566000366210937</v>
      </c>
      <c r="Q68" s="4">
        <v>0</v>
      </c>
      <c r="R68" s="8">
        <v>4</v>
      </c>
      <c r="S68" s="5">
        <v>1.4099999666213989</v>
      </c>
      <c r="T68" s="5">
        <v>0.93999999761581421</v>
      </c>
      <c r="U68" s="10">
        <v>99</v>
      </c>
      <c r="V68" s="9">
        <v>92</v>
      </c>
      <c r="W68" s="14">
        <v>-0.17700000762939452</v>
      </c>
      <c r="X68" s="4">
        <v>-0.20540000915527343</v>
      </c>
      <c r="Y68" s="4">
        <v>2.0000000298023225E-3</v>
      </c>
      <c r="Z68" s="4">
        <v>0.98470001220703129</v>
      </c>
      <c r="AA68" s="4">
        <v>5.8999997377395634E-3</v>
      </c>
      <c r="AB68" s="4">
        <v>7.4999999999999997E-3</v>
      </c>
      <c r="AC68" s="4">
        <v>9.5299997329711908E-2</v>
      </c>
      <c r="AD68" s="4">
        <v>0.2215999984741211</v>
      </c>
      <c r="AE68" s="4">
        <v>0.30829999923706053</v>
      </c>
      <c r="AF68" s="4">
        <v>2.5699999332427979E-2</v>
      </c>
      <c r="AG68" s="4">
        <v>8.7999999523162842E-3</v>
      </c>
      <c r="AH68" s="4">
        <v>6.7600002288818364E-2</v>
      </c>
      <c r="AI68" s="4">
        <v>0</v>
      </c>
      <c r="AJ68" s="4">
        <v>4.8299999237060548E-2</v>
      </c>
      <c r="AK68" s="4">
        <v>0.1965999984741211</v>
      </c>
      <c r="AL68" s="4">
        <v>0</v>
      </c>
      <c r="AM68" s="4">
        <v>2.7799999713897704E-2</v>
      </c>
      <c r="AN68" s="12">
        <v>0</v>
      </c>
      <c r="AO68" s="13">
        <v>46322</v>
      </c>
    </row>
    <row r="69" spans="1:41" x14ac:dyDescent="0.3">
      <c r="A69" s="3" t="s">
        <v>125</v>
      </c>
      <c r="B69" s="3" t="s">
        <v>71</v>
      </c>
      <c r="C69" s="4">
        <v>0.16879999160766601</v>
      </c>
      <c r="D69" s="4">
        <v>0.23629999160766602</v>
      </c>
      <c r="E69" s="4">
        <v>0.10670000076293945</v>
      </c>
      <c r="F69" s="4">
        <v>0.11460000038146972</v>
      </c>
      <c r="G69" s="5">
        <v>65</v>
      </c>
      <c r="H69" s="5">
        <v>17.610000610351563</v>
      </c>
      <c r="I69" s="5">
        <v>0.5</v>
      </c>
      <c r="J69" s="5">
        <v>16.340000152587891</v>
      </c>
      <c r="K69" s="5">
        <v>0.68</v>
      </c>
      <c r="L69" s="6">
        <v>66</v>
      </c>
      <c r="M69" s="7" t="s">
        <v>126</v>
      </c>
      <c r="N69" s="6">
        <v>2012</v>
      </c>
      <c r="O69" s="3" t="s">
        <v>127</v>
      </c>
      <c r="P69" s="4">
        <v>0.9736000061035156</v>
      </c>
      <c r="Q69" s="4">
        <v>0</v>
      </c>
      <c r="R69" s="8">
        <v>5</v>
      </c>
      <c r="S69" s="5">
        <v>1.1799999475479126</v>
      </c>
      <c r="T69" s="5">
        <v>1.1000000238418579</v>
      </c>
      <c r="U69" s="9">
        <v>112</v>
      </c>
      <c r="V69" s="10">
        <v>111</v>
      </c>
      <c r="W69" s="14">
        <v>-0.1965999984741211</v>
      </c>
      <c r="X69" s="4">
        <v>-0.29219999313354494</v>
      </c>
      <c r="Y69" s="4">
        <v>0.71169998168945314</v>
      </c>
      <c r="Z69" s="4">
        <v>0.10039999961853027</v>
      </c>
      <c r="AA69" s="4">
        <v>0.14359999656677247</v>
      </c>
      <c r="AB69" s="4">
        <v>4.4200000762939451E-2</v>
      </c>
      <c r="AC69" s="4">
        <v>0.40900001525878904</v>
      </c>
      <c r="AD69" s="4">
        <v>8.5200004577636712E-2</v>
      </c>
      <c r="AE69" s="4">
        <v>0.18389999389648437</v>
      </c>
      <c r="AF69" s="4">
        <v>5.8600001335144043E-2</v>
      </c>
      <c r="AG69" s="4">
        <v>1.6399999856948854E-2</v>
      </c>
      <c r="AH69" s="4">
        <v>1.2999999523162842E-3</v>
      </c>
      <c r="AI69" s="4">
        <v>2.0499999523162841E-2</v>
      </c>
      <c r="AJ69" s="4">
        <v>6.3800001144409174E-2</v>
      </c>
      <c r="AK69" s="4">
        <v>0.16120000839233398</v>
      </c>
      <c r="AL69" s="4">
        <v>9.9999997764825814E-5</v>
      </c>
      <c r="AM69" s="4">
        <v>9.9999997764825814E-5</v>
      </c>
      <c r="AN69" s="12">
        <v>0</v>
      </c>
      <c r="AO69" s="13">
        <v>46322</v>
      </c>
    </row>
    <row r="70" spans="1:41" x14ac:dyDescent="0.3">
      <c r="A70" s="3" t="s">
        <v>128</v>
      </c>
      <c r="B70" s="3" t="s">
        <v>68</v>
      </c>
      <c r="C70" s="4">
        <v>2.2300000190734862E-2</v>
      </c>
      <c r="D70" s="4">
        <v>0.38169998168945313</v>
      </c>
      <c r="E70" s="4">
        <v>0.10630000114440918</v>
      </c>
      <c r="G70" s="5">
        <v>78</v>
      </c>
      <c r="H70" s="5">
        <v>13.460000038146973</v>
      </c>
      <c r="I70" s="5">
        <v>0.43000000715255737</v>
      </c>
      <c r="J70" s="5">
        <v>23.989999771118164</v>
      </c>
      <c r="K70" s="5">
        <v>1.55</v>
      </c>
      <c r="L70" s="6">
        <v>1100</v>
      </c>
      <c r="M70" s="7" t="s">
        <v>129</v>
      </c>
      <c r="N70" s="6">
        <v>2021</v>
      </c>
      <c r="O70" s="3" t="s">
        <v>130</v>
      </c>
      <c r="P70" s="4">
        <v>0.93930000305175776</v>
      </c>
      <c r="Q70" s="4">
        <v>0</v>
      </c>
      <c r="R70" s="8">
        <v>4</v>
      </c>
      <c r="S70" s="5">
        <v>0.94999998807907104</v>
      </c>
      <c r="T70" s="5">
        <v>1.3700000047683716</v>
      </c>
      <c r="U70" s="9">
        <v>169</v>
      </c>
      <c r="V70" s="10">
        <v>133</v>
      </c>
      <c r="W70" s="11">
        <v>-0.12789999961853027</v>
      </c>
      <c r="X70" s="4">
        <v>-9.5100002288818361E-2</v>
      </c>
      <c r="Y70" s="4">
        <v>0.50360000610351563</v>
      </c>
      <c r="Z70" s="4">
        <v>0.25399999618530272</v>
      </c>
      <c r="AA70" s="4">
        <v>0.17850000381469727</v>
      </c>
      <c r="AB70" s="4">
        <v>6.3800001144409174E-2</v>
      </c>
      <c r="AC70" s="4">
        <v>0.24629999160766602</v>
      </c>
      <c r="AD70" s="4">
        <v>0.12220000267028809</v>
      </c>
      <c r="AE70" s="4">
        <v>7.6999998092651373E-2</v>
      </c>
      <c r="AF70" s="4">
        <v>7.4999999999999997E-2</v>
      </c>
      <c r="AG70" s="4">
        <v>0</v>
      </c>
      <c r="AH70" s="4">
        <v>0</v>
      </c>
      <c r="AI70" s="4">
        <v>2.8699998855590821E-2</v>
      </c>
      <c r="AJ70" s="4">
        <v>0.13789999961853028</v>
      </c>
      <c r="AK70" s="4">
        <v>0.27079999923706055</v>
      </c>
      <c r="AL70" s="4">
        <v>4.2100000381469729E-2</v>
      </c>
      <c r="AM70" s="4">
        <v>0</v>
      </c>
      <c r="AN70" s="12">
        <v>0</v>
      </c>
      <c r="AO70" s="13">
        <v>46322</v>
      </c>
    </row>
    <row r="71" spans="1:41" x14ac:dyDescent="0.3">
      <c r="A71" s="3" t="s">
        <v>131</v>
      </c>
      <c r="B71" s="3" t="s">
        <v>68</v>
      </c>
      <c r="C71" s="4">
        <v>5.9400000572204591E-2</v>
      </c>
      <c r="D71" s="15">
        <v>0.18229999542236328</v>
      </c>
      <c r="E71" s="15">
        <v>0.10569999694824218</v>
      </c>
      <c r="G71" s="5">
        <v>73</v>
      </c>
      <c r="H71" s="5">
        <v>18.829999923706055</v>
      </c>
      <c r="I71" s="19">
        <v>0.38999998569488525</v>
      </c>
      <c r="J71" s="19">
        <v>16.350000381469727</v>
      </c>
      <c r="K71" s="5">
        <v>0.91</v>
      </c>
      <c r="L71" s="6">
        <v>230</v>
      </c>
      <c r="M71" s="7" t="s">
        <v>132</v>
      </c>
      <c r="N71" s="6">
        <v>2018</v>
      </c>
      <c r="O71" s="3" t="s">
        <v>133</v>
      </c>
      <c r="P71" s="4">
        <v>0.97889999389648441</v>
      </c>
      <c r="Q71" s="4">
        <v>9.9999997764825814E-5</v>
      </c>
      <c r="R71" s="20">
        <v>4</v>
      </c>
      <c r="S71" s="19">
        <v>0.9100000262260437</v>
      </c>
      <c r="T71" s="19">
        <v>0.92000001668930054</v>
      </c>
      <c r="U71" s="21">
        <v>80</v>
      </c>
      <c r="V71" s="22">
        <v>77</v>
      </c>
      <c r="W71" s="24">
        <v>-0.10569999694824218</v>
      </c>
      <c r="X71" s="15">
        <v>-9.4899997711181641E-2</v>
      </c>
      <c r="Y71" s="4">
        <v>0.76769996643066407</v>
      </c>
      <c r="Z71" s="4">
        <v>8.4099998474121099E-2</v>
      </c>
      <c r="AA71" s="4">
        <v>6.8699998855590819E-2</v>
      </c>
      <c r="AB71" s="4">
        <v>7.9499998092651361E-2</v>
      </c>
      <c r="AC71" s="4">
        <v>0.26459999084472657</v>
      </c>
      <c r="AD71" s="4">
        <v>0.12100000381469726</v>
      </c>
      <c r="AE71" s="4">
        <v>0.24909999847412109</v>
      </c>
      <c r="AF71" s="4">
        <v>3.880000114440918E-2</v>
      </c>
      <c r="AG71" s="4">
        <v>0</v>
      </c>
      <c r="AH71" s="4">
        <v>2.9600000381469725E-2</v>
      </c>
      <c r="AI71" s="4">
        <v>2.4000000953674317E-2</v>
      </c>
      <c r="AJ71" s="4">
        <v>0.11430000305175782</v>
      </c>
      <c r="AK71" s="4">
        <v>0.15869999885559083</v>
      </c>
      <c r="AL71" s="4">
        <v>0</v>
      </c>
      <c r="AM71" s="4">
        <v>0</v>
      </c>
      <c r="AN71" s="12">
        <v>0</v>
      </c>
      <c r="AO71" s="13">
        <v>46322</v>
      </c>
    </row>
    <row r="72" spans="1:41" x14ac:dyDescent="0.3">
      <c r="A72" s="3" t="s">
        <v>291</v>
      </c>
      <c r="B72" s="3" t="s">
        <v>277</v>
      </c>
      <c r="C72" s="4">
        <v>0.25209999084472656</v>
      </c>
      <c r="D72" s="4">
        <v>0.16360000610351563</v>
      </c>
      <c r="E72" s="4">
        <v>0.10289999961853027</v>
      </c>
      <c r="F72" s="4">
        <v>0.11079999923706055</v>
      </c>
      <c r="G72" s="5">
        <v>59</v>
      </c>
      <c r="H72" s="5">
        <v>17.149999618530273</v>
      </c>
      <c r="I72" s="5">
        <v>0.43999999761581421</v>
      </c>
      <c r="J72" s="5">
        <v>13.159999847412109</v>
      </c>
      <c r="K72" s="5">
        <v>0.77</v>
      </c>
      <c r="L72" s="6">
        <v>3100</v>
      </c>
      <c r="M72" s="7" t="s">
        <v>292</v>
      </c>
      <c r="N72" s="6">
        <v>2019</v>
      </c>
      <c r="O72" s="3" t="s">
        <v>293</v>
      </c>
      <c r="P72" s="4">
        <v>0.49930000305175781</v>
      </c>
      <c r="Q72" s="4">
        <v>2.0000000298023225E-3</v>
      </c>
      <c r="R72" s="8">
        <v>3</v>
      </c>
      <c r="S72" s="5">
        <v>-1.4299999475479126</v>
      </c>
      <c r="T72" s="5">
        <v>0.9100000262260437</v>
      </c>
      <c r="U72" s="10">
        <v>85</v>
      </c>
      <c r="V72" s="9">
        <v>89</v>
      </c>
      <c r="W72" s="11">
        <v>-0.18399999618530274</v>
      </c>
      <c r="X72" s="4">
        <v>-0.18139999389648437</v>
      </c>
      <c r="Y72" s="4">
        <v>0.98529998779296879</v>
      </c>
      <c r="Z72" s="4">
        <v>8.1000000238418586E-3</v>
      </c>
      <c r="AA72" s="4">
        <v>6.6000002622604373E-3</v>
      </c>
      <c r="AB72" s="4">
        <v>0</v>
      </c>
      <c r="AC72" s="4">
        <v>0.19420000076293945</v>
      </c>
      <c r="AD72" s="4">
        <v>0.14869999885559082</v>
      </c>
      <c r="AE72" s="4">
        <v>0.19770000457763673</v>
      </c>
      <c r="AF72" s="4">
        <v>3.8399999141693113E-2</v>
      </c>
      <c r="AG72" s="4">
        <v>2.5699999332427979E-2</v>
      </c>
      <c r="AH72" s="4">
        <v>3.1900000572204587E-2</v>
      </c>
      <c r="AI72" s="4">
        <v>5.3499999046325686E-2</v>
      </c>
      <c r="AJ72" s="4">
        <v>0.12880000114440918</v>
      </c>
      <c r="AK72" s="4">
        <v>0.11529999732971191</v>
      </c>
      <c r="AL72" s="4">
        <v>2.8199999332427977E-2</v>
      </c>
      <c r="AM72" s="4">
        <v>3.7499999999999999E-2</v>
      </c>
      <c r="AN72" s="12">
        <v>0</v>
      </c>
      <c r="AO72" s="13">
        <v>46322</v>
      </c>
    </row>
    <row r="73" spans="1:41" x14ac:dyDescent="0.3">
      <c r="A73" s="3" t="s">
        <v>288</v>
      </c>
      <c r="B73" s="3" t="s">
        <v>277</v>
      </c>
      <c r="C73" s="4">
        <v>0.15670000076293944</v>
      </c>
      <c r="D73" s="4">
        <v>0.16</v>
      </c>
      <c r="E73" s="4">
        <v>0.10289999961853027</v>
      </c>
      <c r="F73" s="4">
        <v>0.12850000381469726</v>
      </c>
      <c r="G73" s="5">
        <v>68</v>
      </c>
      <c r="H73" s="5">
        <v>11.189999580383301</v>
      </c>
      <c r="I73" s="5">
        <v>0.34000000357627869</v>
      </c>
      <c r="J73" s="5">
        <v>16.049999237060547</v>
      </c>
      <c r="K73" s="5">
        <v>1.21</v>
      </c>
      <c r="L73" s="6">
        <v>2000</v>
      </c>
      <c r="M73" s="7" t="s">
        <v>289</v>
      </c>
      <c r="N73" s="6">
        <v>2001</v>
      </c>
      <c r="O73" s="3" t="s">
        <v>290</v>
      </c>
      <c r="P73" s="4">
        <v>0.96760002136230472</v>
      </c>
      <c r="Q73" s="4">
        <v>0</v>
      </c>
      <c r="R73" s="8">
        <v>3</v>
      </c>
      <c r="S73" s="5">
        <v>-3.3499999046325684</v>
      </c>
      <c r="T73" s="5">
        <v>1.1299999952316284</v>
      </c>
      <c r="U73" s="10">
        <v>98</v>
      </c>
      <c r="V73" s="10">
        <v>113</v>
      </c>
      <c r="W73" s="14">
        <v>-0.16219999313354491</v>
      </c>
      <c r="X73" s="4">
        <v>-0.18139999389648437</v>
      </c>
      <c r="Y73" s="4">
        <v>0.98720001220703124</v>
      </c>
      <c r="Z73" s="4">
        <v>0</v>
      </c>
      <c r="AA73" s="4">
        <v>0</v>
      </c>
      <c r="AB73" s="4">
        <v>1.2799999713897704E-2</v>
      </c>
      <c r="AC73" s="4">
        <v>0.1315999984741211</v>
      </c>
      <c r="AD73" s="4">
        <v>9.9700002670288085E-2</v>
      </c>
      <c r="AE73" s="4">
        <v>0.37419998168945312</v>
      </c>
      <c r="AF73" s="4">
        <v>6.7300000190734857E-2</v>
      </c>
      <c r="AG73" s="4">
        <v>1.9500000476837157E-2</v>
      </c>
      <c r="AH73" s="4">
        <v>4.4000000953674318E-2</v>
      </c>
      <c r="AI73" s="4">
        <v>4.8299999237060548E-2</v>
      </c>
      <c r="AJ73" s="4">
        <v>0.1015999984741211</v>
      </c>
      <c r="AK73" s="4">
        <v>0.10659999847412109</v>
      </c>
      <c r="AL73" s="4">
        <v>7.2000002861022953E-3</v>
      </c>
      <c r="AM73" s="4">
        <v>0</v>
      </c>
      <c r="AN73" s="12">
        <v>0</v>
      </c>
      <c r="AO73" s="13">
        <v>46322</v>
      </c>
    </row>
    <row r="74" spans="1:41" x14ac:dyDescent="0.3">
      <c r="A74" s="3" t="s">
        <v>134</v>
      </c>
      <c r="B74" s="3" t="s">
        <v>91</v>
      </c>
      <c r="C74" s="4">
        <v>0.15890000343322755</v>
      </c>
      <c r="D74" s="4">
        <v>0.14109999656677247</v>
      </c>
      <c r="E74" s="4">
        <v>0.10270000457763671</v>
      </c>
      <c r="F74" s="4">
        <v>0.10960000038146972</v>
      </c>
      <c r="G74" s="5">
        <v>55</v>
      </c>
      <c r="H74" s="5">
        <v>18.170000076293945</v>
      </c>
      <c r="I74" s="5">
        <v>0.40000000596046448</v>
      </c>
      <c r="J74" s="5">
        <v>10.960000038146973</v>
      </c>
      <c r="K74" s="5">
        <v>0.77</v>
      </c>
      <c r="L74" s="6">
        <v>5900</v>
      </c>
      <c r="M74" s="7" t="s">
        <v>116</v>
      </c>
      <c r="N74" s="6">
        <v>2010</v>
      </c>
      <c r="O74" s="3" t="s">
        <v>135</v>
      </c>
      <c r="P74" s="4">
        <v>0.99230003356933594</v>
      </c>
      <c r="Q74" s="4">
        <v>0</v>
      </c>
      <c r="R74" s="8">
        <v>3</v>
      </c>
      <c r="S74" s="5">
        <v>-1.6299999952316284</v>
      </c>
      <c r="T74" s="5">
        <v>0.92000001668930054</v>
      </c>
      <c r="U74" s="10">
        <v>82</v>
      </c>
      <c r="V74" s="10">
        <v>102</v>
      </c>
      <c r="W74" s="11">
        <v>-0.10039999961853027</v>
      </c>
      <c r="X74" s="4">
        <v>-7.460000038146973E-2</v>
      </c>
      <c r="Y74" s="4">
        <v>0.57659999847412113</v>
      </c>
      <c r="Z74" s="4">
        <v>0.35749999999999998</v>
      </c>
      <c r="AA74" s="4">
        <v>4.1900000572204589E-2</v>
      </c>
      <c r="AB74" s="4">
        <v>2.4000000953674317E-2</v>
      </c>
      <c r="AC74" s="4">
        <v>0.23559999465942383</v>
      </c>
      <c r="AD74" s="4">
        <v>0.14739999771118165</v>
      </c>
      <c r="AE74" s="4">
        <v>0.11039999961853027</v>
      </c>
      <c r="AF74" s="4">
        <v>2.9900000095367432E-2</v>
      </c>
      <c r="AG74" s="4">
        <v>0</v>
      </c>
      <c r="AH74" s="4">
        <v>0.19899999618530273</v>
      </c>
      <c r="AI74" s="4">
        <v>0</v>
      </c>
      <c r="AJ74" s="4">
        <v>2.4000000953674317E-2</v>
      </c>
      <c r="AK74" s="4">
        <v>0.25370000839233398</v>
      </c>
      <c r="AL74" s="4">
        <v>0</v>
      </c>
      <c r="AM74" s="4">
        <v>0</v>
      </c>
      <c r="AN74" s="12">
        <v>0</v>
      </c>
      <c r="AO74" s="13">
        <v>46322</v>
      </c>
    </row>
    <row r="75" spans="1:41" x14ac:dyDescent="0.3">
      <c r="A75" s="3" t="s">
        <v>294</v>
      </c>
      <c r="B75" s="3" t="s">
        <v>277</v>
      </c>
      <c r="C75" s="4">
        <v>0.16540000915527345</v>
      </c>
      <c r="D75" s="4">
        <v>0.18299999237060546</v>
      </c>
      <c r="E75" s="4">
        <v>0.10239999771118163</v>
      </c>
      <c r="F75" s="4">
        <v>0.1075</v>
      </c>
      <c r="G75" s="5">
        <v>58</v>
      </c>
      <c r="H75" s="5">
        <v>13.329999923706055</v>
      </c>
      <c r="I75" s="5">
        <v>0.49000000953674316</v>
      </c>
      <c r="J75" s="5">
        <v>14.359999656677246</v>
      </c>
      <c r="K75" s="5">
        <v>1.72</v>
      </c>
      <c r="L75" s="6">
        <v>263</v>
      </c>
      <c r="M75" s="7" t="s">
        <v>295</v>
      </c>
      <c r="N75" s="6">
        <v>2011</v>
      </c>
      <c r="O75" s="3" t="s">
        <v>296</v>
      </c>
      <c r="P75" s="4">
        <v>0.96919998168945309</v>
      </c>
      <c r="Q75" s="4">
        <v>1.9999999552965163E-4</v>
      </c>
      <c r="R75" s="8">
        <v>3</v>
      </c>
      <c r="S75" s="5">
        <v>-0.98000001907348633</v>
      </c>
      <c r="T75" s="5">
        <v>0.93000000715255737</v>
      </c>
      <c r="U75" s="10">
        <v>84</v>
      </c>
      <c r="V75" s="9">
        <v>83</v>
      </c>
      <c r="W75" s="14">
        <v>-0.16719999313354492</v>
      </c>
      <c r="X75" s="4">
        <v>-0.18139999389648437</v>
      </c>
      <c r="Y75" s="4">
        <v>0.9119999694824219</v>
      </c>
      <c r="Z75" s="4">
        <v>7.019999980926514E-2</v>
      </c>
      <c r="AA75" s="4">
        <v>1.7899999618530272E-2</v>
      </c>
      <c r="AB75" s="4">
        <v>0</v>
      </c>
      <c r="AC75" s="4">
        <v>0.16469999313354491</v>
      </c>
      <c r="AD75" s="4">
        <v>0.18110000610351562</v>
      </c>
      <c r="AE75" s="4">
        <v>0.18729999542236328</v>
      </c>
      <c r="AF75" s="4">
        <v>6.5100002288818362E-2</v>
      </c>
      <c r="AG75" s="4">
        <v>1.4199999570846557E-2</v>
      </c>
      <c r="AH75" s="4">
        <v>6.0399999618530271E-2</v>
      </c>
      <c r="AI75" s="4">
        <v>9.6999998092651363E-2</v>
      </c>
      <c r="AJ75" s="4">
        <v>6.8400001525878912E-2</v>
      </c>
      <c r="AK75" s="4">
        <v>0.11340000152587891</v>
      </c>
      <c r="AL75" s="4">
        <v>1.190000057220459E-2</v>
      </c>
      <c r="AM75" s="4">
        <v>3.6500000953674318E-2</v>
      </c>
      <c r="AN75" s="12">
        <v>0</v>
      </c>
      <c r="AO75" s="13">
        <v>46322</v>
      </c>
    </row>
    <row r="76" spans="1:41" x14ac:dyDescent="0.3">
      <c r="A76" s="3" t="s">
        <v>136</v>
      </c>
      <c r="B76" s="3" t="s">
        <v>91</v>
      </c>
      <c r="C76" s="4">
        <v>0.13750000000000001</v>
      </c>
      <c r="D76" s="15">
        <v>0.14229999542236327</v>
      </c>
      <c r="E76" s="15">
        <v>0.10229999542236329</v>
      </c>
      <c r="F76" s="15">
        <v>9.9799995422363286E-2</v>
      </c>
      <c r="G76" s="5">
        <v>52</v>
      </c>
      <c r="H76" s="5">
        <v>17.280000686645508</v>
      </c>
      <c r="I76" s="19">
        <v>0.41999998688697815</v>
      </c>
      <c r="J76" s="19">
        <v>9.6099996566772461</v>
      </c>
      <c r="K76" s="5">
        <v>1.1000000000000001</v>
      </c>
      <c r="L76" s="6">
        <v>847</v>
      </c>
      <c r="M76" s="7" t="s">
        <v>137</v>
      </c>
      <c r="N76" s="6">
        <v>2013</v>
      </c>
      <c r="O76" s="3" t="s">
        <v>138</v>
      </c>
      <c r="P76" s="4">
        <v>0.87779998779296875</v>
      </c>
      <c r="Q76" s="4">
        <v>9.9000000953674318E-3</v>
      </c>
      <c r="R76" s="20">
        <v>3</v>
      </c>
      <c r="S76" s="19">
        <v>-0.92000001668930054</v>
      </c>
      <c r="T76" s="19">
        <v>0.79000002145767212</v>
      </c>
      <c r="U76" s="21">
        <v>78</v>
      </c>
      <c r="V76" s="22">
        <v>78</v>
      </c>
      <c r="W76" s="23">
        <v>-7.9299998283386228E-2</v>
      </c>
      <c r="X76" s="15">
        <v>-0.221299991607666</v>
      </c>
      <c r="Y76" s="4">
        <v>0.31950000762939451</v>
      </c>
      <c r="Z76" s="4">
        <v>0.54880001068115236</v>
      </c>
      <c r="AA76" s="4">
        <v>0.11529999732971191</v>
      </c>
      <c r="AB76" s="4">
        <v>1.6499999761581421E-2</v>
      </c>
      <c r="AC76" s="4">
        <v>8.9099998474121089E-2</v>
      </c>
      <c r="AD76" s="4">
        <v>5.6199998855590821E-2</v>
      </c>
      <c r="AE76" s="4">
        <v>0.22149999618530272</v>
      </c>
      <c r="AF76" s="4">
        <v>2.5000000000000001E-2</v>
      </c>
      <c r="AG76" s="4">
        <v>0.10869999885559083</v>
      </c>
      <c r="AH76" s="4">
        <v>0.12739999771118163</v>
      </c>
      <c r="AI76" s="4">
        <v>0</v>
      </c>
      <c r="AJ76" s="4">
        <v>0.11340000152587891</v>
      </c>
      <c r="AK76" s="4">
        <v>0.21850000381469725</v>
      </c>
      <c r="AL76" s="4">
        <v>0</v>
      </c>
      <c r="AM76" s="4">
        <v>4.0300002098083494E-2</v>
      </c>
      <c r="AN76" s="12">
        <v>0</v>
      </c>
      <c r="AO76" s="13">
        <v>46322</v>
      </c>
    </row>
    <row r="77" spans="1:41" x14ac:dyDescent="0.3">
      <c r="A77" s="18" t="s">
        <v>139</v>
      </c>
      <c r="B77" s="3" t="s">
        <v>84</v>
      </c>
      <c r="C77" s="4">
        <v>0.18409999847412109</v>
      </c>
      <c r="D77" s="15">
        <v>0.31479999542236325</v>
      </c>
      <c r="E77" s="15">
        <v>0.10220000267028809</v>
      </c>
      <c r="G77" s="5">
        <v>100</v>
      </c>
      <c r="H77" s="5">
        <v>26.549999237060547</v>
      </c>
      <c r="I77" s="19">
        <v>0.38999998569488525</v>
      </c>
      <c r="J77" s="19">
        <v>38.009998321533203</v>
      </c>
      <c r="K77" s="5">
        <v>1.29</v>
      </c>
      <c r="L77" s="6">
        <v>12</v>
      </c>
      <c r="M77" s="7" t="s">
        <v>140</v>
      </c>
      <c r="N77" s="6">
        <v>2018</v>
      </c>
      <c r="O77" s="3" t="s">
        <v>141</v>
      </c>
      <c r="P77" s="4">
        <v>0.64139999389648439</v>
      </c>
      <c r="Q77" s="4">
        <v>3.4400000572204589E-2</v>
      </c>
      <c r="R77" s="20">
        <v>3</v>
      </c>
      <c r="S77" s="19">
        <v>1.6100000143051147</v>
      </c>
      <c r="T77" s="19">
        <v>1.940000057220459</v>
      </c>
      <c r="U77" s="22">
        <v>167</v>
      </c>
      <c r="V77" s="21">
        <v>190</v>
      </c>
      <c r="W77" s="24">
        <v>-0.53049999237060552</v>
      </c>
      <c r="X77" s="15">
        <v>-0.29219999313354494</v>
      </c>
      <c r="Y77" s="4">
        <v>0.98099998474121097</v>
      </c>
      <c r="Z77" s="4">
        <v>1.909999966621399E-2</v>
      </c>
      <c r="AA77" s="4">
        <v>0</v>
      </c>
      <c r="AB77" s="4">
        <v>0</v>
      </c>
      <c r="AC77" s="4">
        <v>0.22010000228881835</v>
      </c>
      <c r="AD77" s="4">
        <v>0</v>
      </c>
      <c r="AE77" s="4">
        <v>0.63169998168945307</v>
      </c>
      <c r="AF77" s="4">
        <v>6.8699998855590819E-2</v>
      </c>
      <c r="AG77" s="4">
        <v>0</v>
      </c>
      <c r="AH77" s="4">
        <v>0</v>
      </c>
      <c r="AI77" s="4">
        <v>0</v>
      </c>
      <c r="AJ77" s="4">
        <v>7.9499998092651361E-2</v>
      </c>
      <c r="AK77" s="4">
        <v>0</v>
      </c>
      <c r="AL77" s="4">
        <v>0</v>
      </c>
      <c r="AM77" s="4">
        <v>0</v>
      </c>
      <c r="AN77" s="12">
        <v>1.6775909811258316E-2</v>
      </c>
      <c r="AO77" s="13">
        <v>46322</v>
      </c>
    </row>
    <row r="78" spans="1:41" x14ac:dyDescent="0.3">
      <c r="A78" s="3" t="s">
        <v>142</v>
      </c>
      <c r="B78" s="3" t="s">
        <v>68</v>
      </c>
      <c r="C78" s="4">
        <v>0.11560000419616699</v>
      </c>
      <c r="D78" s="4">
        <v>0.25040000915527344</v>
      </c>
      <c r="E78" s="4">
        <v>0.10090000152587891</v>
      </c>
      <c r="G78" s="5">
        <v>68</v>
      </c>
      <c r="H78" s="5">
        <v>16.420000076293945</v>
      </c>
      <c r="I78" s="5">
        <v>0.43999999761581421</v>
      </c>
      <c r="J78" s="5">
        <v>17.819999694824219</v>
      </c>
      <c r="K78" s="5">
        <v>0</v>
      </c>
      <c r="L78" s="6">
        <v>4600</v>
      </c>
      <c r="M78" s="7" t="s">
        <v>143</v>
      </c>
      <c r="N78" s="6">
        <v>2017</v>
      </c>
      <c r="O78" s="3" t="s">
        <v>144</v>
      </c>
      <c r="P78" s="4">
        <v>0.96260002136230471</v>
      </c>
      <c r="Q78" s="4">
        <v>0</v>
      </c>
      <c r="R78" s="8">
        <v>5</v>
      </c>
      <c r="S78" s="5">
        <v>1.690000057220459</v>
      </c>
      <c r="T78" s="5">
        <v>0.95999997854232788</v>
      </c>
      <c r="U78" s="9">
        <v>110</v>
      </c>
      <c r="V78" s="9">
        <v>86</v>
      </c>
      <c r="W78" s="11">
        <v>-0.13739999771118164</v>
      </c>
      <c r="X78" s="4">
        <v>-9.4899997711181641E-2</v>
      </c>
      <c r="Y78" s="4">
        <v>0.64860000610351565</v>
      </c>
      <c r="Z78" s="4">
        <v>0.19649999618530273</v>
      </c>
      <c r="AA78" s="4">
        <v>0.139399995803833</v>
      </c>
      <c r="AB78" s="4">
        <v>1.5499999523162842E-2</v>
      </c>
      <c r="AC78" s="4">
        <v>0.30840000152587893</v>
      </c>
      <c r="AD78" s="4">
        <v>0.14479999542236327</v>
      </c>
      <c r="AE78" s="4">
        <v>0.1115999984741211</v>
      </c>
      <c r="AF78" s="4">
        <v>6.4600000381469722E-2</v>
      </c>
      <c r="AG78" s="4">
        <v>5.1999998092651364E-2</v>
      </c>
      <c r="AH78" s="4">
        <v>0</v>
      </c>
      <c r="AI78" s="4">
        <v>1.9299999475479127E-2</v>
      </c>
      <c r="AJ78" s="4">
        <v>8.4600000381469725E-2</v>
      </c>
      <c r="AK78" s="4">
        <v>0.17389999389648436</v>
      </c>
      <c r="AL78" s="4">
        <v>4.0799999237060548E-2</v>
      </c>
      <c r="AM78" s="4">
        <v>0</v>
      </c>
      <c r="AN78" s="12">
        <v>0</v>
      </c>
      <c r="AO78" s="13">
        <v>46322</v>
      </c>
    </row>
    <row r="79" spans="1:41" x14ac:dyDescent="0.3">
      <c r="A79" s="3" t="s">
        <v>390</v>
      </c>
      <c r="B79" s="3" t="s">
        <v>369</v>
      </c>
      <c r="C79" s="4">
        <v>9.6700000762939456E-2</v>
      </c>
      <c r="D79" s="4">
        <v>0.25989999771118166</v>
      </c>
      <c r="E79" s="4">
        <v>0.10010000228881837</v>
      </c>
      <c r="F79" s="4">
        <v>0.21790000915527344</v>
      </c>
      <c r="G79" s="5">
        <v>88</v>
      </c>
      <c r="H79" s="5">
        <v>29.260000228881836</v>
      </c>
      <c r="I79" s="5">
        <v>0.38999998569488525</v>
      </c>
      <c r="J79" s="5">
        <v>29.399999618530273</v>
      </c>
      <c r="K79" s="5">
        <v>0.84</v>
      </c>
      <c r="L79" s="6">
        <v>9400</v>
      </c>
      <c r="M79" s="7" t="s">
        <v>391</v>
      </c>
      <c r="N79" s="6">
        <v>2017</v>
      </c>
      <c r="O79" s="3" t="s">
        <v>392</v>
      </c>
      <c r="P79" s="4">
        <v>0.92249999999999999</v>
      </c>
      <c r="Q79" s="4">
        <v>2.9999999329447744E-4</v>
      </c>
      <c r="R79" s="8">
        <v>3</v>
      </c>
      <c r="S79" s="5">
        <v>-7.2899999618530273</v>
      </c>
      <c r="T79" s="5">
        <v>1.0900000333786011</v>
      </c>
      <c r="U79" s="10">
        <v>99</v>
      </c>
      <c r="V79" s="10">
        <v>129</v>
      </c>
      <c r="W79" s="11">
        <v>-0.43599998474121093</v>
      </c>
      <c r="X79" s="4">
        <v>-0.39500000000000002</v>
      </c>
      <c r="Y79" s="4">
        <v>0.96169998168945314</v>
      </c>
      <c r="Z79" s="4">
        <v>2.2699999809265136E-2</v>
      </c>
      <c r="AA79" s="4">
        <v>1.0800000429153443E-2</v>
      </c>
      <c r="AB79" s="4">
        <v>4.7999998927116391E-3</v>
      </c>
      <c r="AC79" s="4">
        <v>0.74279998779296874</v>
      </c>
      <c r="AD79" s="4">
        <v>4.320000171661377E-2</v>
      </c>
      <c r="AE79" s="4">
        <v>3.6199998855590818E-2</v>
      </c>
      <c r="AF79" s="4">
        <v>9.4499998092651361E-2</v>
      </c>
      <c r="AG79" s="4">
        <v>0</v>
      </c>
      <c r="AH79" s="4">
        <v>0</v>
      </c>
      <c r="AI79" s="4">
        <v>0</v>
      </c>
      <c r="AJ79" s="4">
        <v>4.9000000953674315E-2</v>
      </c>
      <c r="AK79" s="4">
        <v>3.4400000572204589E-2</v>
      </c>
      <c r="AL79" s="4">
        <v>0</v>
      </c>
      <c r="AM79" s="4">
        <v>0</v>
      </c>
      <c r="AN79" s="12">
        <v>0</v>
      </c>
      <c r="AO79" s="13">
        <v>46322</v>
      </c>
    </row>
    <row r="80" spans="1:41" x14ac:dyDescent="0.3">
      <c r="A80" s="3" t="s">
        <v>145</v>
      </c>
      <c r="B80" s="3" t="s">
        <v>58</v>
      </c>
      <c r="C80" s="4">
        <v>9.2299995422363279E-2</v>
      </c>
      <c r="D80" s="4">
        <v>0.14449999809265138</v>
      </c>
      <c r="E80" s="4">
        <v>9.9200000762939458E-2</v>
      </c>
      <c r="F80" s="4">
        <v>0.12649999618530272</v>
      </c>
      <c r="G80" s="5">
        <v>62</v>
      </c>
      <c r="H80" s="5">
        <v>18.840000152587891</v>
      </c>
      <c r="I80" s="5">
        <v>0.44999998807907104</v>
      </c>
      <c r="J80" s="5">
        <v>13.640000343322754</v>
      </c>
      <c r="K80" s="5">
        <v>0.67</v>
      </c>
      <c r="L80" s="6">
        <v>5400</v>
      </c>
      <c r="M80" s="7" t="s">
        <v>146</v>
      </c>
      <c r="N80" s="6">
        <v>2015</v>
      </c>
      <c r="O80" s="3" t="s">
        <v>147</v>
      </c>
      <c r="P80" s="4">
        <v>0.69470001220703126</v>
      </c>
      <c r="Q80" s="4">
        <v>1.1999999731779098E-3</v>
      </c>
      <c r="R80" s="8">
        <v>4</v>
      </c>
      <c r="S80" s="5">
        <v>-0.57999998331069946</v>
      </c>
      <c r="T80" s="5">
        <v>0.93999999761581421</v>
      </c>
      <c r="U80" s="10">
        <v>90</v>
      </c>
      <c r="V80" s="9">
        <v>91</v>
      </c>
      <c r="W80" s="14">
        <v>-0.16879999160766601</v>
      </c>
      <c r="X80" s="4">
        <v>-0.27229999542236327</v>
      </c>
      <c r="Y80" s="4">
        <v>0.7491000366210937</v>
      </c>
      <c r="Z80" s="4">
        <v>0.13260000228881835</v>
      </c>
      <c r="AA80" s="4">
        <v>0.10819999694824219</v>
      </c>
      <c r="AB80" s="4">
        <v>1.0099999904632569E-2</v>
      </c>
      <c r="AC80" s="4">
        <v>0.35259998321533204</v>
      </c>
      <c r="AD80" s="4">
        <v>7.9899997711181642E-2</v>
      </c>
      <c r="AE80" s="4">
        <v>0.17329999923706055</v>
      </c>
      <c r="AF80" s="4">
        <v>9.3599996566772467E-2</v>
      </c>
      <c r="AG80" s="4">
        <v>1.7100000381469728E-2</v>
      </c>
      <c r="AH80" s="4">
        <v>0</v>
      </c>
      <c r="AI80" s="4">
        <v>3.8900001049041746E-2</v>
      </c>
      <c r="AJ80" s="4">
        <v>0.14140000343322753</v>
      </c>
      <c r="AK80" s="4">
        <v>6.690000057220459E-2</v>
      </c>
      <c r="AL80" s="4">
        <v>1.3600000143051148E-2</v>
      </c>
      <c r="AM80" s="4">
        <v>2.2799999713897706E-2</v>
      </c>
      <c r="AN80" s="12">
        <v>0</v>
      </c>
      <c r="AO80" s="13">
        <v>46322</v>
      </c>
    </row>
    <row r="81" spans="1:41" x14ac:dyDescent="0.3">
      <c r="A81" s="3" t="s">
        <v>460</v>
      </c>
      <c r="B81" s="3" t="s">
        <v>461</v>
      </c>
      <c r="C81" s="4">
        <v>6.1700000762939453E-2</v>
      </c>
      <c r="D81" s="4">
        <v>0.17540000915527343</v>
      </c>
      <c r="E81" s="4">
        <v>9.8400001525878911E-2</v>
      </c>
      <c r="F81" s="4">
        <v>9.6700000762939456E-2</v>
      </c>
      <c r="G81" s="5">
        <v>53</v>
      </c>
      <c r="H81" s="5">
        <v>10.229999542236328</v>
      </c>
      <c r="I81" s="5">
        <v>1.8300000429153442</v>
      </c>
      <c r="J81" s="5">
        <v>7.190000057220459</v>
      </c>
      <c r="K81" s="5">
        <v>1</v>
      </c>
      <c r="L81" s="6">
        <v>3100</v>
      </c>
      <c r="M81" s="7" t="s">
        <v>462</v>
      </c>
      <c r="N81" s="6">
        <v>2013</v>
      </c>
      <c r="O81" s="3" t="s">
        <v>463</v>
      </c>
      <c r="P81" s="4">
        <v>0.29629999160766601</v>
      </c>
      <c r="Q81" s="4">
        <v>0.42450000762939455</v>
      </c>
      <c r="R81" s="8">
        <v>5</v>
      </c>
      <c r="S81" s="5">
        <v>7.4699997901916504</v>
      </c>
      <c r="T81" s="5">
        <v>0.80000001192092896</v>
      </c>
      <c r="U81" s="9">
        <v>124</v>
      </c>
      <c r="V81" s="9">
        <v>49</v>
      </c>
      <c r="W81" s="14">
        <v>-3.9900000095367434E-2</v>
      </c>
      <c r="X81" s="4">
        <v>-4.6300001144409179E-2</v>
      </c>
      <c r="Y81" s="4">
        <v>0.46750000000000003</v>
      </c>
      <c r="Z81" s="4">
        <v>0.37819999694824219</v>
      </c>
      <c r="AA81" s="4">
        <v>3.8299999237060546E-2</v>
      </c>
      <c r="AB81" s="4">
        <v>0.11600000381469727</v>
      </c>
      <c r="AC81" s="4">
        <v>2.8900001049041748E-2</v>
      </c>
      <c r="AD81" s="4">
        <v>2.9999999329447744E-4</v>
      </c>
      <c r="AE81" s="4">
        <v>0.89550003051757809</v>
      </c>
      <c r="AF81" s="4">
        <v>2.9999999329447744E-4</v>
      </c>
      <c r="AG81" s="4">
        <v>0</v>
      </c>
      <c r="AH81" s="4">
        <v>9.9999997764825814E-5</v>
      </c>
      <c r="AI81" s="4">
        <v>9.9999997764825814E-5</v>
      </c>
      <c r="AJ81" s="4">
        <v>2.9999999329447744E-4</v>
      </c>
      <c r="AK81" s="4">
        <v>9.9000000953674318E-3</v>
      </c>
      <c r="AL81" s="4">
        <v>6.4699997901916509E-2</v>
      </c>
      <c r="AM81" s="4">
        <v>9.9999997764825814E-5</v>
      </c>
      <c r="AN81" s="12">
        <v>0</v>
      </c>
      <c r="AO81" s="13">
        <v>46318</v>
      </c>
    </row>
    <row r="82" spans="1:41" x14ac:dyDescent="0.3">
      <c r="A82" s="3" t="s">
        <v>148</v>
      </c>
      <c r="B82" s="3" t="s">
        <v>71</v>
      </c>
      <c r="C82" s="4">
        <v>0.16979999542236329</v>
      </c>
      <c r="D82" s="4">
        <v>0.21389999389648437</v>
      </c>
      <c r="E82" s="4">
        <v>9.7500000000000003E-2</v>
      </c>
      <c r="F82" s="4">
        <v>0.11800000190734863</v>
      </c>
      <c r="G82" s="5">
        <v>73</v>
      </c>
      <c r="H82" s="5">
        <v>12.039999961853027</v>
      </c>
      <c r="I82" s="5">
        <v>0.5</v>
      </c>
      <c r="J82" s="5">
        <v>18.450000762939453</v>
      </c>
      <c r="K82" s="5">
        <v>1.37</v>
      </c>
      <c r="L82" s="6">
        <v>340</v>
      </c>
      <c r="M82" s="7" t="s">
        <v>840</v>
      </c>
      <c r="N82" s="6">
        <v>2015</v>
      </c>
      <c r="O82" s="3" t="s">
        <v>150</v>
      </c>
      <c r="P82" s="4">
        <v>0.97580001831054686</v>
      </c>
      <c r="Q82" s="4">
        <v>0</v>
      </c>
      <c r="R82" s="8">
        <v>5</v>
      </c>
      <c r="S82" s="5">
        <v>2.9500000476837158</v>
      </c>
      <c r="T82" s="5">
        <v>2.059999942779541</v>
      </c>
      <c r="U82" s="9">
        <v>207</v>
      </c>
      <c r="V82" s="10">
        <v>206</v>
      </c>
      <c r="W82" s="11">
        <v>-0.25629999160766603</v>
      </c>
      <c r="X82" s="4">
        <v>-0.13649999618530273</v>
      </c>
      <c r="Y82" s="4">
        <v>0.76139999389648438</v>
      </c>
      <c r="Z82" s="4">
        <v>0.20770000457763671</v>
      </c>
      <c r="AA82" s="4">
        <v>0</v>
      </c>
      <c r="AB82" s="4">
        <v>3.0899999141693116E-2</v>
      </c>
      <c r="AC82" s="4">
        <v>2.9900000095367432E-2</v>
      </c>
      <c r="AD82" s="4">
        <v>6.0100002288818358E-2</v>
      </c>
      <c r="AE82" s="4">
        <v>0.26450000762939452</v>
      </c>
      <c r="AF82" s="4">
        <v>4.2399997711181643E-2</v>
      </c>
      <c r="AG82" s="4">
        <v>6.0799999237060545E-2</v>
      </c>
      <c r="AH82" s="4">
        <v>2.1199998855590822E-2</v>
      </c>
      <c r="AI82" s="4">
        <v>3.3699998855590822E-2</v>
      </c>
      <c r="AJ82" s="4">
        <v>0.12489999771118164</v>
      </c>
      <c r="AK82" s="4">
        <v>0.13039999961853027</v>
      </c>
      <c r="AL82" s="4">
        <v>0.23209999084472657</v>
      </c>
      <c r="AM82" s="4">
        <v>0</v>
      </c>
      <c r="AN82" s="12">
        <v>5.8853618800640106E-2</v>
      </c>
      <c r="AO82" s="13">
        <v>46322</v>
      </c>
    </row>
    <row r="83" spans="1:41" x14ac:dyDescent="0.3">
      <c r="A83" s="3" t="s">
        <v>428</v>
      </c>
      <c r="B83" s="3" t="s">
        <v>421</v>
      </c>
      <c r="C83" s="4">
        <v>0.13930000305175783</v>
      </c>
      <c r="D83" s="4">
        <v>0.19850000381469726</v>
      </c>
      <c r="E83" s="4">
        <v>9.6599998474121096E-2</v>
      </c>
      <c r="F83" s="4">
        <v>9.6199998855590815E-2</v>
      </c>
      <c r="G83" s="5">
        <v>76</v>
      </c>
      <c r="H83" s="5">
        <v>10.630000114440918</v>
      </c>
      <c r="I83" s="5">
        <v>0.37000000476837158</v>
      </c>
      <c r="J83" s="5">
        <v>15.760000228881836</v>
      </c>
      <c r="K83" s="5">
        <v>0.83</v>
      </c>
      <c r="L83" s="6">
        <v>5000</v>
      </c>
      <c r="M83" s="7" t="s">
        <v>429</v>
      </c>
      <c r="N83" s="6">
        <v>2012</v>
      </c>
      <c r="O83" s="3" t="s">
        <v>430</v>
      </c>
      <c r="P83" s="4">
        <v>0.99830001831054682</v>
      </c>
      <c r="Q83" s="4">
        <v>0</v>
      </c>
      <c r="R83" s="8">
        <v>5</v>
      </c>
      <c r="S83" s="5">
        <v>1.25</v>
      </c>
      <c r="T83" s="5">
        <v>0.92000001668930054</v>
      </c>
      <c r="U83" s="10">
        <v>99</v>
      </c>
      <c r="V83" s="9">
        <v>94</v>
      </c>
      <c r="W83" s="14">
        <v>-0.1615999984741211</v>
      </c>
      <c r="X83" s="4">
        <v>-0.36599998474121093</v>
      </c>
      <c r="Y83" s="4">
        <v>0</v>
      </c>
      <c r="Z83" s="4">
        <v>0</v>
      </c>
      <c r="AA83" s="4">
        <v>0.53220001220703128</v>
      </c>
      <c r="AB83" s="4">
        <v>0.46779998779296877</v>
      </c>
      <c r="AC83" s="4">
        <v>0.27569999694824221</v>
      </c>
      <c r="AD83" s="4">
        <v>0</v>
      </c>
      <c r="AE83" s="4">
        <v>0.16149999618530272</v>
      </c>
      <c r="AF83" s="4">
        <v>0.10170000076293945</v>
      </c>
      <c r="AG83" s="4">
        <v>6.2899999618530267E-2</v>
      </c>
      <c r="AH83" s="4">
        <v>0.11609999656677246</v>
      </c>
      <c r="AI83" s="4">
        <v>1.0099999904632569E-2</v>
      </c>
      <c r="AJ83" s="4">
        <v>0.14539999961853028</v>
      </c>
      <c r="AK83" s="4">
        <v>9.3699998855590827E-2</v>
      </c>
      <c r="AL83" s="4">
        <v>3.2999999523162842E-2</v>
      </c>
      <c r="AM83" s="4">
        <v>0</v>
      </c>
      <c r="AN83" s="12">
        <v>5.7582380250096321E-3</v>
      </c>
      <c r="AO83" s="13">
        <v>46322</v>
      </c>
    </row>
    <row r="84" spans="1:41" x14ac:dyDescent="0.3">
      <c r="A84" s="3" t="s">
        <v>431</v>
      </c>
      <c r="B84" s="3" t="s">
        <v>418</v>
      </c>
      <c r="C84" s="4">
        <v>0.19750000000000001</v>
      </c>
      <c r="D84" s="4">
        <v>0.18649999618530275</v>
      </c>
      <c r="E84" s="4">
        <v>9.6400003433227535E-2</v>
      </c>
      <c r="F84" s="4">
        <v>9.0299997329711917E-2</v>
      </c>
      <c r="G84" s="5">
        <v>59</v>
      </c>
      <c r="H84" s="5">
        <v>11.420000076293945</v>
      </c>
      <c r="I84" s="5">
        <v>0.38999998569488525</v>
      </c>
      <c r="J84" s="5">
        <v>11.460000038146973</v>
      </c>
      <c r="K84" s="5">
        <v>1.3</v>
      </c>
      <c r="L84" s="6">
        <v>1000</v>
      </c>
      <c r="M84" s="7" t="s">
        <v>432</v>
      </c>
      <c r="N84" s="6">
        <v>2009</v>
      </c>
      <c r="O84" s="3" t="s">
        <v>433</v>
      </c>
      <c r="P84" s="4">
        <v>0.98819999694824223</v>
      </c>
      <c r="Q84" s="4">
        <v>0</v>
      </c>
      <c r="R84" s="8">
        <v>4</v>
      </c>
      <c r="S84" s="5">
        <v>1.4099999666213989</v>
      </c>
      <c r="T84" s="5">
        <v>0.77999997138977051</v>
      </c>
      <c r="U84" s="10">
        <v>84</v>
      </c>
      <c r="V84" s="9">
        <v>75</v>
      </c>
      <c r="W84" s="14">
        <v>-0.11489999771118165</v>
      </c>
      <c r="X84" s="4">
        <v>-0.34599998474121096</v>
      </c>
      <c r="Y84" s="4">
        <v>4.0000000596046451E-3</v>
      </c>
      <c r="Z84" s="4">
        <v>1.899999976158142E-2</v>
      </c>
      <c r="AA84" s="4">
        <v>0.36060001373291017</v>
      </c>
      <c r="AB84" s="4">
        <v>0.61650001525878906</v>
      </c>
      <c r="AC84" s="4">
        <v>0.2813999938964844</v>
      </c>
      <c r="AD84" s="4">
        <v>6.0300002098083498E-2</v>
      </c>
      <c r="AE84" s="4">
        <v>0.12970000267028808</v>
      </c>
      <c r="AF84" s="4">
        <v>9.9700002670288085E-2</v>
      </c>
      <c r="AG84" s="4">
        <v>3.4400000572204589E-2</v>
      </c>
      <c r="AH84" s="4">
        <v>0.10249999999999999</v>
      </c>
      <c r="AI84" s="4">
        <v>4.8600001335144041E-2</v>
      </c>
      <c r="AJ84" s="4">
        <v>0.11710000038146973</v>
      </c>
      <c r="AK84" s="4">
        <v>8.3100004196166991E-2</v>
      </c>
      <c r="AL84" s="4">
        <v>2.690000057220459E-2</v>
      </c>
      <c r="AM84" s="4">
        <v>1.6200000047683717E-2</v>
      </c>
      <c r="AN84" s="12">
        <v>0</v>
      </c>
      <c r="AO84" s="13">
        <v>46322</v>
      </c>
    </row>
    <row r="85" spans="1:41" x14ac:dyDescent="0.3">
      <c r="A85" s="3" t="s">
        <v>513</v>
      </c>
      <c r="B85" s="3" t="s">
        <v>510</v>
      </c>
      <c r="C85" s="4">
        <v>9.2299995422363279E-2</v>
      </c>
      <c r="D85" s="4">
        <v>8.8000001907348635E-2</v>
      </c>
      <c r="E85" s="4">
        <v>9.4200000762939454E-2</v>
      </c>
      <c r="F85" s="4">
        <v>6.0399999618530271E-2</v>
      </c>
      <c r="G85" s="5">
        <v>15</v>
      </c>
      <c r="H85" s="5">
        <v>11.609999656677246</v>
      </c>
      <c r="I85" s="5">
        <v>0.87999999523162842</v>
      </c>
      <c r="J85" s="5">
        <v>7.7100000381469727</v>
      </c>
      <c r="K85" s="5">
        <v>1.07</v>
      </c>
      <c r="L85" s="6">
        <v>209</v>
      </c>
      <c r="M85" s="7" t="s">
        <v>324</v>
      </c>
      <c r="N85" s="6">
        <v>2016</v>
      </c>
      <c r="O85" s="3" t="s">
        <v>514</v>
      </c>
      <c r="P85" s="4">
        <v>4.9299998283386229E-2</v>
      </c>
      <c r="Q85" s="4">
        <v>0.30170000076293946</v>
      </c>
      <c r="R85" s="8">
        <v>4</v>
      </c>
      <c r="S85" s="5">
        <v>5.8000001907348633</v>
      </c>
      <c r="T85" s="5">
        <v>0.11999999731779099</v>
      </c>
      <c r="U85" s="10">
        <v>21</v>
      </c>
      <c r="V85" s="9">
        <v>-25</v>
      </c>
      <c r="W85" s="11">
        <v>-5.5900001525878908E-2</v>
      </c>
      <c r="X85" s="4">
        <v>-4.2199997901916503E-2</v>
      </c>
      <c r="Y85" s="4">
        <v>6.0399999618530271E-2</v>
      </c>
      <c r="Z85" s="4">
        <v>0.93959999084472656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0.18620000839233397</v>
      </c>
      <c r="AG85" s="4">
        <v>0.18989999771118163</v>
      </c>
      <c r="AH85" s="4">
        <v>0.29110000610351561</v>
      </c>
      <c r="AI85" s="4">
        <v>0.32060001373291014</v>
      </c>
      <c r="AJ85" s="4">
        <v>1.2200000286102295E-2</v>
      </c>
      <c r="AK85" s="4">
        <v>0</v>
      </c>
      <c r="AL85" s="4">
        <v>0</v>
      </c>
      <c r="AM85" s="4">
        <v>0</v>
      </c>
      <c r="AN85" s="12">
        <v>0</v>
      </c>
      <c r="AO85" s="13">
        <v>46322</v>
      </c>
    </row>
    <row r="86" spans="1:41" x14ac:dyDescent="0.3">
      <c r="A86" s="3" t="s">
        <v>151</v>
      </c>
      <c r="B86" s="3" t="s">
        <v>58</v>
      </c>
      <c r="C86" s="4">
        <v>0.12140000343322754</v>
      </c>
      <c r="D86" s="4">
        <v>0.16690000534057617</v>
      </c>
      <c r="E86" s="4">
        <v>9.3199996948242186E-2</v>
      </c>
      <c r="F86" s="4">
        <v>0.12649999618530272</v>
      </c>
      <c r="G86" s="5">
        <v>67</v>
      </c>
      <c r="H86" s="5">
        <v>19.409999847412109</v>
      </c>
      <c r="I86" s="5">
        <v>0.43999999761581421</v>
      </c>
      <c r="J86" s="5">
        <v>13.470000267028809</v>
      </c>
      <c r="K86" s="5">
        <v>0.84</v>
      </c>
      <c r="L86" s="6">
        <v>1900</v>
      </c>
      <c r="M86" s="7" t="s">
        <v>152</v>
      </c>
      <c r="N86" s="6">
        <v>2017</v>
      </c>
      <c r="O86" s="3" t="s">
        <v>153</v>
      </c>
      <c r="P86" s="4">
        <v>0.97849998474121092</v>
      </c>
      <c r="Q86" s="4">
        <v>0</v>
      </c>
      <c r="R86" s="8">
        <v>4</v>
      </c>
      <c r="S86" s="5">
        <v>-0.79000002145767212</v>
      </c>
      <c r="T86" s="5">
        <v>0.97000002861022949</v>
      </c>
      <c r="U86" s="10">
        <v>96</v>
      </c>
      <c r="V86" s="16">
        <v>100</v>
      </c>
      <c r="W86" s="14">
        <v>-0.15109999656677245</v>
      </c>
      <c r="X86" s="4">
        <v>-0.27229999542236327</v>
      </c>
      <c r="Y86" s="4">
        <v>0.81050003051757813</v>
      </c>
      <c r="Z86" s="4">
        <v>0.12880000114440918</v>
      </c>
      <c r="AA86" s="4">
        <v>6.0700001716613772E-2</v>
      </c>
      <c r="AB86" s="4">
        <v>0</v>
      </c>
      <c r="AC86" s="4">
        <v>0.35840000152587892</v>
      </c>
      <c r="AD86" s="4">
        <v>0.10859999656677247</v>
      </c>
      <c r="AE86" s="4">
        <v>0.16340000152587891</v>
      </c>
      <c r="AF86" s="4">
        <v>8.0699996948242189E-2</v>
      </c>
      <c r="AG86" s="4">
        <v>3.7100000381469725E-2</v>
      </c>
      <c r="AH86" s="4">
        <v>2.1700000762939452E-2</v>
      </c>
      <c r="AI86" s="4">
        <v>4.320000171661377E-2</v>
      </c>
      <c r="AJ86" s="4">
        <v>8.5100002288818366E-2</v>
      </c>
      <c r="AK86" s="4">
        <v>8.7799997329711915E-2</v>
      </c>
      <c r="AL86" s="4">
        <v>1.399999976158142E-2</v>
      </c>
      <c r="AM86" s="4">
        <v>0</v>
      </c>
      <c r="AN86" s="12">
        <v>0</v>
      </c>
      <c r="AO86" s="13">
        <v>46322</v>
      </c>
    </row>
    <row r="87" spans="1:41" x14ac:dyDescent="0.3">
      <c r="A87" s="3" t="s">
        <v>515</v>
      </c>
      <c r="B87" s="3" t="s">
        <v>516</v>
      </c>
      <c r="C87" s="4">
        <v>5.5500001907348634E-2</v>
      </c>
      <c r="D87" s="4">
        <v>9.5399999618530268E-2</v>
      </c>
      <c r="E87" s="4">
        <v>9.2700004577636719E-2</v>
      </c>
      <c r="F87" s="4">
        <v>6.2899999618530267E-2</v>
      </c>
      <c r="G87" s="5">
        <v>19</v>
      </c>
      <c r="H87" s="5">
        <v>11.619999885559082</v>
      </c>
      <c r="I87" s="5">
        <v>1.4900000095367432</v>
      </c>
      <c r="J87" s="5">
        <v>5.0399999618530273</v>
      </c>
      <c r="K87" s="5">
        <v>0.97</v>
      </c>
      <c r="L87" s="6">
        <v>4900</v>
      </c>
      <c r="M87" s="7" t="s">
        <v>517</v>
      </c>
      <c r="N87" s="6">
        <v>2013</v>
      </c>
      <c r="O87" s="3" t="s">
        <v>518</v>
      </c>
      <c r="P87" s="4">
        <v>0.42569999694824218</v>
      </c>
      <c r="Q87" s="4">
        <v>1.2000000476837159E-2</v>
      </c>
      <c r="R87" s="8">
        <v>5</v>
      </c>
      <c r="S87" s="5">
        <v>7</v>
      </c>
      <c r="T87" s="5">
        <v>-0.41999998688697815</v>
      </c>
      <c r="U87" s="10">
        <v>52</v>
      </c>
      <c r="V87" s="9">
        <v>-77</v>
      </c>
      <c r="W87" s="11">
        <v>-3.8199999332427979E-2</v>
      </c>
      <c r="X87" s="4">
        <v>-3.119999885559082E-2</v>
      </c>
      <c r="Y87" s="4">
        <v>3.0199999809265136E-2</v>
      </c>
      <c r="Z87" s="4">
        <v>0.9533999633789062</v>
      </c>
      <c r="AA87" s="4">
        <v>5.6000000238418581E-3</v>
      </c>
      <c r="AB87" s="4">
        <v>1.0800000429153443E-2</v>
      </c>
      <c r="AC87" s="4">
        <v>7.460000038146973E-2</v>
      </c>
      <c r="AD87" s="4">
        <v>8.7799997329711915E-2</v>
      </c>
      <c r="AE87" s="4">
        <v>0.23879999160766602</v>
      </c>
      <c r="AF87" s="4">
        <v>5.8400001525878903E-2</v>
      </c>
      <c r="AG87" s="4">
        <v>5.059999942779541E-2</v>
      </c>
      <c r="AH87" s="4">
        <v>5.2699999809265138E-2</v>
      </c>
      <c r="AI87" s="4">
        <v>6.7100000381469724E-2</v>
      </c>
      <c r="AJ87" s="4">
        <v>6.5399999618530269E-2</v>
      </c>
      <c r="AK87" s="4">
        <v>0.26399999618530273</v>
      </c>
      <c r="AL87" s="4">
        <v>0</v>
      </c>
      <c r="AM87" s="4">
        <v>4.0599999427795408E-2</v>
      </c>
      <c r="AN87" s="12">
        <v>0</v>
      </c>
      <c r="AO87" s="13">
        <v>46322</v>
      </c>
    </row>
    <row r="88" spans="1:41" x14ac:dyDescent="0.3">
      <c r="A88" s="3" t="s">
        <v>354</v>
      </c>
      <c r="B88" s="3" t="s">
        <v>323</v>
      </c>
      <c r="C88" s="4">
        <v>0.10130000114440918</v>
      </c>
      <c r="D88" s="4">
        <v>0.16729999542236329</v>
      </c>
      <c r="E88" s="4">
        <v>9.2700004577636719E-2</v>
      </c>
      <c r="F88" s="4">
        <v>0.10460000038146973</v>
      </c>
      <c r="G88" s="5">
        <v>69</v>
      </c>
      <c r="H88" s="5">
        <v>17.120000839233398</v>
      </c>
      <c r="I88" s="5">
        <v>0.67000001668930054</v>
      </c>
      <c r="J88" s="5">
        <v>13.609999656677246</v>
      </c>
      <c r="K88" s="5">
        <v>1</v>
      </c>
      <c r="L88" s="6">
        <v>9300</v>
      </c>
      <c r="M88" s="7" t="s">
        <v>355</v>
      </c>
      <c r="N88" s="6">
        <v>2015</v>
      </c>
      <c r="O88" s="3" t="s">
        <v>356</v>
      </c>
      <c r="P88" s="4">
        <v>0.98529998779296879</v>
      </c>
      <c r="Q88" s="4">
        <v>0</v>
      </c>
      <c r="R88" s="8">
        <v>5</v>
      </c>
      <c r="S88" s="5">
        <v>0.43000000715255737</v>
      </c>
      <c r="T88" s="5">
        <v>1.0499999523162842</v>
      </c>
      <c r="U88" s="9">
        <v>104</v>
      </c>
      <c r="V88" s="10">
        <v>102</v>
      </c>
      <c r="W88" s="14">
        <v>-0.19479999542236329</v>
      </c>
      <c r="X88" s="4">
        <v>-0.20540000915527343</v>
      </c>
      <c r="Y88" s="4">
        <v>2.9600000381469725E-2</v>
      </c>
      <c r="Z88" s="4">
        <v>0.97040000915527347</v>
      </c>
      <c r="AA88" s="4">
        <v>0</v>
      </c>
      <c r="AB88" s="4">
        <v>0</v>
      </c>
      <c r="AC88" s="4">
        <v>9.1599998474121092E-2</v>
      </c>
      <c r="AD88" s="4">
        <v>0.12109999656677246</v>
      </c>
      <c r="AE88" s="4">
        <v>0.2656999969482422</v>
      </c>
      <c r="AF88" s="4">
        <v>1.5700000524520873E-2</v>
      </c>
      <c r="AG88" s="4">
        <v>0.10060000419616699</v>
      </c>
      <c r="AH88" s="4">
        <v>5.3499999046325686E-2</v>
      </c>
      <c r="AI88" s="4">
        <v>3.880000114440918E-2</v>
      </c>
      <c r="AJ88" s="4">
        <v>3.0899999141693116E-2</v>
      </c>
      <c r="AK88" s="4">
        <v>0.21600000381469728</v>
      </c>
      <c r="AL88" s="4">
        <v>0</v>
      </c>
      <c r="AM88" s="4">
        <v>6.6199998855590816E-2</v>
      </c>
      <c r="AN88" s="12">
        <v>0</v>
      </c>
      <c r="AO88" s="13">
        <v>46322</v>
      </c>
    </row>
    <row r="89" spans="1:41" x14ac:dyDescent="0.3">
      <c r="A89" s="3" t="s">
        <v>154</v>
      </c>
      <c r="B89" s="3" t="s">
        <v>68</v>
      </c>
      <c r="C89" s="4">
        <v>0.16700000762939454</v>
      </c>
      <c r="D89" s="4">
        <v>0.20190000534057617</v>
      </c>
      <c r="E89" s="4">
        <v>9.2299995422363279E-2</v>
      </c>
      <c r="F89" s="4">
        <v>0.14159999847412108</v>
      </c>
      <c r="G89" s="5">
        <v>64</v>
      </c>
      <c r="H89" s="5">
        <v>19.719999313354492</v>
      </c>
      <c r="I89" s="5">
        <v>0.38999998569488525</v>
      </c>
      <c r="J89" s="5">
        <v>16.030000686645508</v>
      </c>
      <c r="K89" s="5">
        <v>0.9</v>
      </c>
      <c r="L89" s="6">
        <v>4100</v>
      </c>
      <c r="M89" s="7" t="s">
        <v>155</v>
      </c>
      <c r="N89" s="6">
        <v>2013</v>
      </c>
      <c r="O89" s="3" t="s">
        <v>156</v>
      </c>
      <c r="P89" s="4">
        <v>0.98139999389648436</v>
      </c>
      <c r="Q89" s="4">
        <v>0</v>
      </c>
      <c r="R89" s="8">
        <v>5</v>
      </c>
      <c r="S89" s="5">
        <v>0.40000000596046448</v>
      </c>
      <c r="T89" s="5">
        <v>0.93000000715255737</v>
      </c>
      <c r="U89" s="10">
        <v>93</v>
      </c>
      <c r="V89" s="9">
        <v>90</v>
      </c>
      <c r="W89" s="14">
        <v>-0.21209999084472655</v>
      </c>
      <c r="X89" s="4">
        <v>-0.3306999969482422</v>
      </c>
      <c r="Y89" s="4">
        <v>0.59069999694824216</v>
      </c>
      <c r="Z89" s="4">
        <v>0.23690000534057618</v>
      </c>
      <c r="AA89" s="4">
        <v>0.17249999999999999</v>
      </c>
      <c r="AB89" s="4">
        <v>0</v>
      </c>
      <c r="AC89" s="4">
        <v>0.36200000762939455</v>
      </c>
      <c r="AD89" s="4">
        <v>0.11819999694824218</v>
      </c>
      <c r="AE89" s="4">
        <v>0.13930000305175783</v>
      </c>
      <c r="AF89" s="4">
        <v>7.1599998474121088E-2</v>
      </c>
      <c r="AG89" s="4">
        <v>4.4699997901916505E-2</v>
      </c>
      <c r="AH89" s="4">
        <v>2.2499999999999999E-2</v>
      </c>
      <c r="AI89" s="4">
        <v>2.9300000667572022E-2</v>
      </c>
      <c r="AJ89" s="4">
        <v>6.3899998664855961E-2</v>
      </c>
      <c r="AK89" s="4">
        <v>0.13390000343322753</v>
      </c>
      <c r="AL89" s="4">
        <v>0</v>
      </c>
      <c r="AM89" s="4">
        <v>1.4800000190734863E-2</v>
      </c>
      <c r="AN89" s="12">
        <v>0</v>
      </c>
      <c r="AO89" s="13">
        <v>46322</v>
      </c>
    </row>
    <row r="90" spans="1:41" x14ac:dyDescent="0.3">
      <c r="A90" s="18" t="s">
        <v>434</v>
      </c>
      <c r="B90" s="3" t="s">
        <v>435</v>
      </c>
      <c r="C90" s="4">
        <v>2.1900000572204589E-2</v>
      </c>
      <c r="D90" s="4">
        <v>0.1418000030517578</v>
      </c>
      <c r="E90" s="4">
        <v>9.1899995803833012E-2</v>
      </c>
      <c r="F90" s="4">
        <v>9.1899995803833012E-2</v>
      </c>
      <c r="G90" s="5">
        <v>84</v>
      </c>
      <c r="H90" s="5">
        <v>8.8100004196166992</v>
      </c>
      <c r="I90" s="5">
        <v>0.37000000476837158</v>
      </c>
      <c r="J90" s="5">
        <v>13.930000305175781</v>
      </c>
      <c r="K90" s="5">
        <v>1.9</v>
      </c>
      <c r="L90" s="6">
        <v>328</v>
      </c>
      <c r="M90" s="7" t="s">
        <v>436</v>
      </c>
      <c r="N90" s="6">
        <v>2013</v>
      </c>
      <c r="O90" s="3" t="s">
        <v>437</v>
      </c>
      <c r="P90" s="4">
        <v>0.96629997253417965</v>
      </c>
      <c r="Q90" s="4">
        <v>1.9999999552965163E-4</v>
      </c>
      <c r="R90" s="8">
        <v>4</v>
      </c>
      <c r="S90" s="5">
        <v>2.7799999713897705</v>
      </c>
      <c r="T90" s="5">
        <v>0.67000001668930054</v>
      </c>
      <c r="U90" s="10">
        <v>76</v>
      </c>
      <c r="V90" s="9">
        <v>72</v>
      </c>
      <c r="W90" s="11">
        <v>-0.12</v>
      </c>
      <c r="X90" s="4">
        <v>-0.1115999984741211</v>
      </c>
      <c r="Y90" s="4">
        <v>0</v>
      </c>
      <c r="Z90" s="4">
        <v>0</v>
      </c>
      <c r="AA90" s="4">
        <v>0.13270000457763673</v>
      </c>
      <c r="AB90" s="4">
        <v>0.86730003356933594</v>
      </c>
      <c r="AC90" s="4">
        <v>0.21299999237060546</v>
      </c>
      <c r="AD90" s="4">
        <v>7.0500001907348633E-2</v>
      </c>
      <c r="AE90" s="4">
        <v>0.15300000190734864</v>
      </c>
      <c r="AF90" s="4">
        <v>0</v>
      </c>
      <c r="AG90" s="4">
        <v>1.9800000190734864E-2</v>
      </c>
      <c r="AH90" s="4">
        <v>8.1199998855590816E-2</v>
      </c>
      <c r="AI90" s="4">
        <v>0</v>
      </c>
      <c r="AJ90" s="4">
        <v>0.12710000038146974</v>
      </c>
      <c r="AK90" s="4">
        <v>0.24719999313354493</v>
      </c>
      <c r="AL90" s="4">
        <v>8.8299999237060542E-2</v>
      </c>
      <c r="AM90" s="4">
        <v>0</v>
      </c>
      <c r="AN90" s="12">
        <v>2.700762078166008E-2</v>
      </c>
      <c r="AO90" s="13">
        <v>46322</v>
      </c>
    </row>
    <row r="91" spans="1:41" x14ac:dyDescent="0.3">
      <c r="A91" s="3" t="s">
        <v>157</v>
      </c>
      <c r="B91" s="3" t="s">
        <v>71</v>
      </c>
      <c r="C91" s="4">
        <v>0.245</v>
      </c>
      <c r="D91" s="4">
        <v>0.14670000076293946</v>
      </c>
      <c r="E91" s="4">
        <v>9.1800003051757811E-2</v>
      </c>
      <c r="F91" s="4">
        <v>0.10140000343322754</v>
      </c>
      <c r="G91" s="5">
        <v>61</v>
      </c>
      <c r="H91" s="5">
        <v>12.069999694824219</v>
      </c>
      <c r="I91" s="5">
        <v>0.2199999988079071</v>
      </c>
      <c r="J91" s="5">
        <v>13.840000152587891</v>
      </c>
      <c r="K91" s="5">
        <v>1.01</v>
      </c>
      <c r="L91" s="6">
        <v>214</v>
      </c>
      <c r="M91" s="7" t="s">
        <v>158</v>
      </c>
      <c r="N91" s="6">
        <v>2011</v>
      </c>
      <c r="O91" s="3" t="s">
        <v>159</v>
      </c>
      <c r="P91" s="4">
        <v>0.97769996643066404</v>
      </c>
      <c r="Q91" s="4">
        <v>0</v>
      </c>
      <c r="R91" s="8">
        <v>3</v>
      </c>
      <c r="S91" s="5">
        <v>-2.9500000476837158</v>
      </c>
      <c r="T91" s="5">
        <v>0.94999998807907104</v>
      </c>
      <c r="U91" s="10">
        <v>90</v>
      </c>
      <c r="V91" s="10">
        <v>104</v>
      </c>
      <c r="W91" s="14">
        <v>-0.11489999771118165</v>
      </c>
      <c r="X91" s="4">
        <v>-0.29219999313354494</v>
      </c>
      <c r="Y91" s="4">
        <v>0.50909999847412113</v>
      </c>
      <c r="Z91" s="4">
        <v>0.33389999389648439</v>
      </c>
      <c r="AA91" s="4">
        <v>0.1468000030517578</v>
      </c>
      <c r="AB91" s="4">
        <v>1.0199999809265137E-2</v>
      </c>
      <c r="AC91" s="4">
        <v>0.42790000915527343</v>
      </c>
      <c r="AD91" s="4">
        <v>0.111899995803833</v>
      </c>
      <c r="AE91" s="4">
        <v>3.2500000000000001E-2</v>
      </c>
      <c r="AF91" s="4">
        <v>0.10140000343322754</v>
      </c>
      <c r="AG91" s="4">
        <v>1.3300000429153443E-2</v>
      </c>
      <c r="AH91" s="4">
        <v>4.9800000190734862E-2</v>
      </c>
      <c r="AI91" s="4">
        <v>0</v>
      </c>
      <c r="AJ91" s="4">
        <v>6.25E-2</v>
      </c>
      <c r="AK91" s="4">
        <v>0.2006999969482422</v>
      </c>
      <c r="AL91" s="4">
        <v>0</v>
      </c>
      <c r="AM91" s="4">
        <v>0</v>
      </c>
      <c r="AN91" s="12">
        <v>0</v>
      </c>
      <c r="AO91" s="13">
        <v>46322</v>
      </c>
    </row>
    <row r="92" spans="1:41" x14ac:dyDescent="0.3">
      <c r="A92" s="3" t="s">
        <v>263</v>
      </c>
      <c r="B92" s="3" t="s">
        <v>48</v>
      </c>
      <c r="C92" s="4">
        <v>0.13380000114440918</v>
      </c>
      <c r="D92" s="4">
        <v>0.1484000015258789</v>
      </c>
      <c r="E92" s="4">
        <v>8.970000267028809E-2</v>
      </c>
      <c r="G92" s="5">
        <v>69</v>
      </c>
      <c r="H92" s="5">
        <v>9.9099998474121094</v>
      </c>
      <c r="I92" s="5">
        <v>0.31999999284744263</v>
      </c>
      <c r="J92" s="5">
        <v>12.579999923706055</v>
      </c>
      <c r="K92" s="5">
        <v>1.02</v>
      </c>
      <c r="L92" s="6">
        <v>59</v>
      </c>
      <c r="M92" s="7" t="s">
        <v>264</v>
      </c>
      <c r="N92" s="6">
        <v>2019</v>
      </c>
      <c r="O92" s="3" t="s">
        <v>265</v>
      </c>
      <c r="P92" s="4">
        <v>0.95099998474121095</v>
      </c>
      <c r="Q92" s="4">
        <v>0</v>
      </c>
      <c r="R92" s="8">
        <v>4</v>
      </c>
      <c r="S92" s="5">
        <v>2.2799999713897705</v>
      </c>
      <c r="T92" s="5">
        <v>0.79000002145767212</v>
      </c>
      <c r="U92" s="10">
        <v>83</v>
      </c>
      <c r="V92" s="9">
        <v>70</v>
      </c>
      <c r="W92" s="14">
        <v>-0.13220000267028809</v>
      </c>
      <c r="X92" s="4">
        <v>-0.31540000915527344</v>
      </c>
      <c r="Y92" s="4">
        <v>2.6600000858306886E-2</v>
      </c>
      <c r="Z92" s="4">
        <v>0.60009998321533198</v>
      </c>
      <c r="AA92" s="4">
        <v>0.19090000152587891</v>
      </c>
      <c r="AB92" s="4">
        <v>0.18260000228881837</v>
      </c>
      <c r="AC92" s="4">
        <v>4.3600001335144044E-2</v>
      </c>
      <c r="AD92" s="4">
        <v>7.0599999427795407E-2</v>
      </c>
      <c r="AE92" s="4">
        <v>2.0999999344348905E-3</v>
      </c>
      <c r="AF92" s="4">
        <v>9.1499996185302732E-2</v>
      </c>
      <c r="AG92" s="4">
        <v>0.16950000762939454</v>
      </c>
      <c r="AH92" s="4">
        <v>7.4000000953674316E-2</v>
      </c>
      <c r="AI92" s="4">
        <v>9.7700004577636723E-2</v>
      </c>
      <c r="AJ92" s="4">
        <v>0.26049999237060545</v>
      </c>
      <c r="AK92" s="4">
        <v>0.19059999465942382</v>
      </c>
      <c r="AL92" s="4">
        <v>0</v>
      </c>
      <c r="AM92" s="4">
        <v>0</v>
      </c>
      <c r="AN92" s="12">
        <v>3.7464643828570843E-3</v>
      </c>
      <c r="AO92" s="13">
        <v>46322</v>
      </c>
    </row>
    <row r="93" spans="1:41" x14ac:dyDescent="0.3">
      <c r="A93" s="3" t="s">
        <v>438</v>
      </c>
      <c r="B93" s="3" t="s">
        <v>410</v>
      </c>
      <c r="C93" s="4">
        <v>0.24049999237060546</v>
      </c>
      <c r="D93" s="4">
        <v>0.20139999389648439</v>
      </c>
      <c r="E93" s="4">
        <v>8.7399997711181635E-2</v>
      </c>
      <c r="F93" s="4">
        <v>0.13010000228881835</v>
      </c>
      <c r="G93" s="5">
        <v>75</v>
      </c>
      <c r="H93" s="5">
        <v>14.880000114440918</v>
      </c>
      <c r="I93" s="5">
        <v>0.36000001430511475</v>
      </c>
      <c r="J93" s="5">
        <v>18.889999389648438</v>
      </c>
      <c r="K93" s="5">
        <v>1.1000000000000001</v>
      </c>
      <c r="L93" s="6">
        <v>1900</v>
      </c>
      <c r="M93" s="7" t="s">
        <v>439</v>
      </c>
      <c r="N93" s="6">
        <v>2000</v>
      </c>
      <c r="O93" s="3" t="s">
        <v>440</v>
      </c>
      <c r="P93" s="4">
        <v>0.9944000244140625</v>
      </c>
      <c r="Q93" s="4">
        <v>0</v>
      </c>
      <c r="R93" s="8">
        <v>4</v>
      </c>
      <c r="S93" s="5">
        <v>1.0499999523162842</v>
      </c>
      <c r="T93" s="5">
        <v>1.1499999761581421</v>
      </c>
      <c r="U93" s="9">
        <v>116</v>
      </c>
      <c r="V93" s="10">
        <v>126</v>
      </c>
      <c r="W93" s="11">
        <v>-0.12100000381469726</v>
      </c>
      <c r="X93" s="4">
        <v>-0.11890000343322754</v>
      </c>
      <c r="Y93" s="4">
        <v>2.7899999618530274E-2</v>
      </c>
      <c r="Z93" s="4">
        <v>0</v>
      </c>
      <c r="AA93" s="4">
        <v>0.82809997558593751</v>
      </c>
      <c r="AB93" s="4">
        <v>0.14409999847412108</v>
      </c>
      <c r="AC93" s="4">
        <v>0.42909999847412111</v>
      </c>
      <c r="AD93" s="4">
        <v>7.6700000762939452E-2</v>
      </c>
      <c r="AE93" s="4">
        <v>8.5399999618530273E-2</v>
      </c>
      <c r="AF93" s="4">
        <v>7.6999998092651366E-3</v>
      </c>
      <c r="AG93" s="4">
        <v>1.8500000238418579E-2</v>
      </c>
      <c r="AH93" s="4">
        <v>0</v>
      </c>
      <c r="AI93" s="4">
        <v>3.4100000858306882E-2</v>
      </c>
      <c r="AJ93" s="4">
        <v>4.0700001716613768E-2</v>
      </c>
      <c r="AK93" s="4">
        <v>0.30780000686645509</v>
      </c>
      <c r="AL93" s="4">
        <v>0</v>
      </c>
      <c r="AM93" s="4">
        <v>0</v>
      </c>
      <c r="AN93" s="12">
        <v>1.5870856121182442E-2</v>
      </c>
      <c r="AO93" s="13">
        <v>46322</v>
      </c>
    </row>
    <row r="94" spans="1:41" x14ac:dyDescent="0.3">
      <c r="A94" s="3" t="s">
        <v>441</v>
      </c>
      <c r="B94" s="3" t="s">
        <v>406</v>
      </c>
      <c r="C94" s="4">
        <v>7.1799998283386235E-2</v>
      </c>
      <c r="D94" s="4">
        <v>0.136899995803833</v>
      </c>
      <c r="E94" s="4">
        <v>8.6999998092651368E-2</v>
      </c>
      <c r="F94" s="4">
        <v>0.10640000343322754</v>
      </c>
      <c r="G94" s="5">
        <v>82</v>
      </c>
      <c r="H94" s="5">
        <v>8.8599996566772461</v>
      </c>
      <c r="I94" s="5">
        <v>0.37999999523162842</v>
      </c>
      <c r="J94" s="5">
        <v>12.779999732971191</v>
      </c>
      <c r="K94" s="5">
        <v>1.3</v>
      </c>
      <c r="L94" s="6">
        <v>756</v>
      </c>
      <c r="M94" s="7" t="s">
        <v>442</v>
      </c>
      <c r="N94" s="6">
        <v>2011</v>
      </c>
      <c r="O94" s="3" t="s">
        <v>443</v>
      </c>
      <c r="P94" s="4">
        <v>0.98279998779296873</v>
      </c>
      <c r="Q94" s="4">
        <v>0</v>
      </c>
      <c r="R94" s="8">
        <v>3</v>
      </c>
      <c r="S94" s="5">
        <v>1.559999942779541</v>
      </c>
      <c r="T94" s="5">
        <v>0.94999998807907104</v>
      </c>
      <c r="U94" s="10">
        <v>87</v>
      </c>
      <c r="V94" s="10">
        <v>131</v>
      </c>
      <c r="W94" s="14">
        <v>-0.09</v>
      </c>
      <c r="X94" s="4">
        <v>-9.1000003814697264E-2</v>
      </c>
      <c r="Y94" s="4">
        <v>0</v>
      </c>
      <c r="Z94" s="4">
        <v>0.21170000076293946</v>
      </c>
      <c r="AA94" s="4">
        <v>0</v>
      </c>
      <c r="AB94" s="4">
        <v>0.78830001831054686</v>
      </c>
      <c r="AC94" s="4">
        <v>6.2199997901916507E-2</v>
      </c>
      <c r="AD94" s="4">
        <v>1.559999942779541E-2</v>
      </c>
      <c r="AE94" s="4">
        <v>0.39819999694824221</v>
      </c>
      <c r="AF94" s="4">
        <v>4.3000000715255737E-3</v>
      </c>
      <c r="AG94" s="4">
        <v>7.7199997901916506E-2</v>
      </c>
      <c r="AH94" s="4">
        <v>1.8400000333786012E-2</v>
      </c>
      <c r="AI94" s="4">
        <v>9.0500001907348637E-2</v>
      </c>
      <c r="AJ94" s="4">
        <v>0.1665999984741211</v>
      </c>
      <c r="AK94" s="4">
        <v>4.9699997901916503E-2</v>
      </c>
      <c r="AL94" s="4">
        <v>9.5200004577636721E-2</v>
      </c>
      <c r="AM94" s="4">
        <v>2.2200000286102296E-2</v>
      </c>
      <c r="AN94" s="12">
        <v>0</v>
      </c>
      <c r="AO94" s="13">
        <v>46322</v>
      </c>
    </row>
    <row r="95" spans="1:41" x14ac:dyDescent="0.3">
      <c r="A95" s="3" t="s">
        <v>297</v>
      </c>
      <c r="B95" s="3" t="s">
        <v>269</v>
      </c>
      <c r="C95" s="4">
        <v>4.2600002288818356E-2</v>
      </c>
      <c r="D95" s="4">
        <v>0.20909999847412108</v>
      </c>
      <c r="E95" s="4">
        <v>8.630000114440918E-2</v>
      </c>
      <c r="F95" s="4">
        <v>0.15199999809265136</v>
      </c>
      <c r="G95" s="5">
        <v>84</v>
      </c>
      <c r="H95" s="5">
        <v>22.799999237060547</v>
      </c>
      <c r="I95" s="5">
        <v>0.34999999403953552</v>
      </c>
      <c r="J95" s="5">
        <v>20.889999389648437</v>
      </c>
      <c r="K95" s="5">
        <v>0.76</v>
      </c>
      <c r="L95" s="6">
        <v>624</v>
      </c>
      <c r="M95" s="7" t="s">
        <v>298</v>
      </c>
      <c r="N95" s="6">
        <v>2021</v>
      </c>
      <c r="O95" s="3" t="s">
        <v>299</v>
      </c>
      <c r="P95" s="4">
        <v>0.99519996643066411</v>
      </c>
      <c r="Q95" s="4">
        <v>1.2999999523162842E-3</v>
      </c>
      <c r="R95" s="8">
        <v>4</v>
      </c>
      <c r="S95" s="5">
        <v>-2.2400000095367432</v>
      </c>
      <c r="T95" s="5">
        <v>0.97000002861022949</v>
      </c>
      <c r="U95" s="10">
        <v>94</v>
      </c>
      <c r="V95" s="10">
        <v>103</v>
      </c>
      <c r="W95" s="11">
        <v>-0.36099998474121092</v>
      </c>
      <c r="X95" s="4">
        <v>-0.28899999618530275</v>
      </c>
      <c r="Y95" s="4">
        <v>0.95160003662109371</v>
      </c>
      <c r="Z95" s="4">
        <v>2.4200000762939454E-2</v>
      </c>
      <c r="AA95" s="4">
        <v>2.4100000858306884E-2</v>
      </c>
      <c r="AB95" s="4">
        <v>0</v>
      </c>
      <c r="AC95" s="4">
        <v>0.52540000915527341</v>
      </c>
      <c r="AD95" s="4">
        <v>5.9499998092651364E-2</v>
      </c>
      <c r="AE95" s="4">
        <v>7.0399999618530273E-2</v>
      </c>
      <c r="AF95" s="4">
        <v>0.16479999542236329</v>
      </c>
      <c r="AG95" s="4">
        <v>3.3000001311302186E-3</v>
      </c>
      <c r="AH95" s="4">
        <v>0</v>
      </c>
      <c r="AI95" s="4">
        <v>0</v>
      </c>
      <c r="AJ95" s="4">
        <v>0.12439999580383301</v>
      </c>
      <c r="AK95" s="4">
        <v>4.8400001525878908E-2</v>
      </c>
      <c r="AL95" s="4">
        <v>0</v>
      </c>
      <c r="AM95" s="4">
        <v>3.7999999523162841E-3</v>
      </c>
      <c r="AN95" s="12">
        <v>0</v>
      </c>
      <c r="AO95" s="13">
        <v>46322</v>
      </c>
    </row>
    <row r="96" spans="1:41" x14ac:dyDescent="0.3">
      <c r="A96" s="3" t="s">
        <v>160</v>
      </c>
      <c r="B96" s="3" t="s">
        <v>68</v>
      </c>
      <c r="C96" s="4">
        <v>0.14850000381469727</v>
      </c>
      <c r="D96" s="4">
        <v>0.17350000381469727</v>
      </c>
      <c r="E96" s="4">
        <v>8.1599998474121097E-2</v>
      </c>
      <c r="F96" s="4">
        <v>0.12069999694824218</v>
      </c>
      <c r="G96" s="5">
        <v>64</v>
      </c>
      <c r="H96" s="5">
        <v>16.770000457763672</v>
      </c>
      <c r="I96" s="5">
        <v>0.31000000238418579</v>
      </c>
      <c r="J96" s="5">
        <v>13.590000152587891</v>
      </c>
      <c r="K96" s="5">
        <v>1.44</v>
      </c>
      <c r="L96" s="6">
        <v>1200</v>
      </c>
      <c r="M96" s="7" t="s">
        <v>161</v>
      </c>
      <c r="N96" s="6">
        <v>2014</v>
      </c>
      <c r="O96" s="3" t="s">
        <v>162</v>
      </c>
      <c r="P96" s="4">
        <v>0.97709999084472654</v>
      </c>
      <c r="Q96" s="4">
        <v>0</v>
      </c>
      <c r="R96" s="8">
        <v>4</v>
      </c>
      <c r="S96" s="5">
        <v>-0.46000000834465027</v>
      </c>
      <c r="T96" s="5">
        <v>0.77999997138977051</v>
      </c>
      <c r="U96" s="10">
        <v>82</v>
      </c>
      <c r="V96" s="9">
        <v>82</v>
      </c>
      <c r="W96" s="14">
        <v>-0.15369999885559082</v>
      </c>
      <c r="X96" s="4">
        <v>-0.3306999969482422</v>
      </c>
      <c r="Y96" s="4">
        <v>0.61740001678466794</v>
      </c>
      <c r="Z96" s="4">
        <v>0</v>
      </c>
      <c r="AA96" s="4">
        <v>0.23549999237060548</v>
      </c>
      <c r="AB96" s="4">
        <v>0.14710000038146973</v>
      </c>
      <c r="AC96" s="4">
        <v>0.37759998321533206</v>
      </c>
      <c r="AD96" s="4">
        <v>0.11340000152587891</v>
      </c>
      <c r="AE96" s="4">
        <v>0.26250000000000001</v>
      </c>
      <c r="AF96" s="4">
        <v>4.5199999809265139E-2</v>
      </c>
      <c r="AG96" s="4">
        <v>9.9999997764825814E-5</v>
      </c>
      <c r="AH96" s="4">
        <v>9.9999997764825814E-5</v>
      </c>
      <c r="AI96" s="4">
        <v>0</v>
      </c>
      <c r="AJ96" s="4">
        <v>0.10100000381469726</v>
      </c>
      <c r="AK96" s="4">
        <v>0.1</v>
      </c>
      <c r="AL96" s="4">
        <v>0</v>
      </c>
      <c r="AM96" s="4">
        <v>0</v>
      </c>
      <c r="AN96" s="12">
        <v>0</v>
      </c>
      <c r="AO96" s="13">
        <v>46322</v>
      </c>
    </row>
    <row r="97" spans="1:41" x14ac:dyDescent="0.3">
      <c r="A97" s="3" t="s">
        <v>464</v>
      </c>
      <c r="B97" s="3" t="s">
        <v>465</v>
      </c>
      <c r="C97" s="4">
        <v>0.1825</v>
      </c>
      <c r="D97" s="4">
        <v>4.760000228881836E-2</v>
      </c>
      <c r="E97" s="4">
        <v>0.08</v>
      </c>
      <c r="F97" s="4">
        <v>6.9299998283386233E-2</v>
      </c>
      <c r="G97" s="5">
        <v>60</v>
      </c>
      <c r="H97" s="5">
        <v>15.710000038146973</v>
      </c>
      <c r="I97" s="5">
        <v>0.20000000298023224</v>
      </c>
      <c r="J97" s="5">
        <v>15.890000343322754</v>
      </c>
      <c r="K97" s="5">
        <v>1.52</v>
      </c>
      <c r="L97" s="6">
        <v>58</v>
      </c>
      <c r="M97" s="7" t="s">
        <v>466</v>
      </c>
      <c r="N97" s="6">
        <v>2010</v>
      </c>
      <c r="O97" s="3" t="s">
        <v>467</v>
      </c>
      <c r="P97" s="4">
        <v>12.240799560546876</v>
      </c>
      <c r="Q97" s="4">
        <v>0.77930000305175784</v>
      </c>
      <c r="R97" s="8">
        <v>0</v>
      </c>
      <c r="S97" s="5">
        <v>0</v>
      </c>
      <c r="T97" s="5">
        <v>0</v>
      </c>
      <c r="U97" s="10">
        <v>0</v>
      </c>
      <c r="V97" s="9">
        <v>0</v>
      </c>
      <c r="W97" s="4">
        <v>-0.24249999999999999</v>
      </c>
      <c r="X97" s="4">
        <v>0</v>
      </c>
      <c r="Y97" s="4">
        <v>1</v>
      </c>
      <c r="Z97" s="4">
        <v>0</v>
      </c>
      <c r="AA97" s="4">
        <v>0</v>
      </c>
      <c r="AB97" s="4">
        <v>0</v>
      </c>
      <c r="AC97" s="4">
        <v>0.31729999542236326</v>
      </c>
      <c r="AD97" s="4">
        <v>9.8800001144409177E-2</v>
      </c>
      <c r="AE97" s="4">
        <v>0.17270000457763671</v>
      </c>
      <c r="AF97" s="4">
        <v>6.7800002098083498E-2</v>
      </c>
      <c r="AG97" s="4">
        <v>3.5199999809265137E-2</v>
      </c>
      <c r="AH97" s="4">
        <v>0.04</v>
      </c>
      <c r="AI97" s="4">
        <v>2.690000057220459E-2</v>
      </c>
      <c r="AJ97" s="4">
        <v>8.4899997711181646E-2</v>
      </c>
      <c r="AK97" s="4">
        <v>0.10819999694824219</v>
      </c>
      <c r="AL97" s="4">
        <v>2.319999933242798E-2</v>
      </c>
      <c r="AM97" s="4">
        <v>2.5000000000000001E-2</v>
      </c>
      <c r="AN97" s="12">
        <v>0</v>
      </c>
      <c r="AO97" s="13">
        <v>46322</v>
      </c>
    </row>
    <row r="98" spans="1:41" x14ac:dyDescent="0.3">
      <c r="A98" s="3" t="s">
        <v>266</v>
      </c>
      <c r="B98" s="3" t="s">
        <v>242</v>
      </c>
      <c r="C98" s="4">
        <v>0.1225</v>
      </c>
      <c r="D98" s="4">
        <v>0.11060000419616699</v>
      </c>
      <c r="E98" s="4">
        <v>7.7100000381469733E-2</v>
      </c>
      <c r="F98" s="4">
        <v>7.7100000381469733E-2</v>
      </c>
      <c r="G98" s="5">
        <v>78</v>
      </c>
      <c r="H98" s="5">
        <v>9.9799995422363281</v>
      </c>
      <c r="I98" s="5">
        <v>0.50999999046325684</v>
      </c>
      <c r="J98" s="5">
        <v>13.489999771118164</v>
      </c>
      <c r="K98" s="5">
        <v>1.3</v>
      </c>
      <c r="L98" s="6">
        <v>79</v>
      </c>
      <c r="M98" s="7" t="s">
        <v>842</v>
      </c>
      <c r="N98" s="6">
        <v>2015</v>
      </c>
      <c r="O98" s="3" t="s">
        <v>267</v>
      </c>
      <c r="P98" s="4">
        <v>0.96750000000000003</v>
      </c>
      <c r="Q98" s="4">
        <v>0</v>
      </c>
      <c r="R98" s="8">
        <v>4</v>
      </c>
      <c r="S98" s="5">
        <v>4.5500001907348633</v>
      </c>
      <c r="T98" s="5">
        <v>0.75999999046325684</v>
      </c>
      <c r="U98" s="10">
        <v>82</v>
      </c>
      <c r="V98" s="9">
        <v>58</v>
      </c>
      <c r="W98" s="14">
        <v>-0.17989999771118165</v>
      </c>
      <c r="X98" s="4">
        <v>-0.32970001220703127</v>
      </c>
      <c r="Y98" s="4">
        <v>5.8400001525878903E-2</v>
      </c>
      <c r="Z98" s="4">
        <v>0.93120002746582031</v>
      </c>
      <c r="AA98" s="4">
        <v>0</v>
      </c>
      <c r="AB98" s="4">
        <v>1.0299999713897705E-2</v>
      </c>
      <c r="AC98" s="4">
        <v>0.11359999656677246</v>
      </c>
      <c r="AD98" s="4">
        <v>2.6500000953674316E-2</v>
      </c>
      <c r="AE98" s="4">
        <v>3.5999999046325684E-2</v>
      </c>
      <c r="AF98" s="4">
        <v>8.7100000381469728E-2</v>
      </c>
      <c r="AG98" s="4">
        <v>4.7899999618530274E-2</v>
      </c>
      <c r="AH98" s="4">
        <v>8.5299997329711913E-2</v>
      </c>
      <c r="AI98" s="4">
        <v>0.10239999771118163</v>
      </c>
      <c r="AJ98" s="4">
        <v>0.18870000839233397</v>
      </c>
      <c r="AK98" s="4">
        <v>0.31239999771118165</v>
      </c>
      <c r="AL98" s="4">
        <v>0</v>
      </c>
      <c r="AM98" s="4">
        <v>0</v>
      </c>
      <c r="AN98" s="12">
        <v>0</v>
      </c>
      <c r="AO98" s="13">
        <v>46322</v>
      </c>
    </row>
    <row r="99" spans="1:41" x14ac:dyDescent="0.3">
      <c r="A99" s="3" t="s">
        <v>163</v>
      </c>
      <c r="B99" s="3" t="s">
        <v>68</v>
      </c>
      <c r="C99" s="4">
        <v>0.15159999847412109</v>
      </c>
      <c r="D99" s="4">
        <v>0.17579999923706055</v>
      </c>
      <c r="E99" s="4">
        <v>7.6399998664855959E-2</v>
      </c>
      <c r="F99" s="4">
        <v>0.12689999580383302</v>
      </c>
      <c r="G99" s="5">
        <v>71</v>
      </c>
      <c r="H99" s="5">
        <v>20.059999465942383</v>
      </c>
      <c r="I99" s="5">
        <v>0.27000001072883606</v>
      </c>
      <c r="J99" s="5">
        <v>17.059999465942383</v>
      </c>
      <c r="K99" s="5">
        <v>1.06</v>
      </c>
      <c r="L99" s="6">
        <v>1100</v>
      </c>
      <c r="M99" s="7" t="s">
        <v>164</v>
      </c>
      <c r="N99" s="6">
        <v>2013</v>
      </c>
      <c r="O99" s="3" t="s">
        <v>165</v>
      </c>
      <c r="P99" s="4">
        <v>0.99169998168945317</v>
      </c>
      <c r="Q99" s="4">
        <v>0</v>
      </c>
      <c r="R99" s="8">
        <v>4</v>
      </c>
      <c r="S99" s="5">
        <v>-1.440000057220459</v>
      </c>
      <c r="T99" s="5">
        <v>0.93000000715255737</v>
      </c>
      <c r="U99" s="10">
        <v>91</v>
      </c>
      <c r="V99" s="9">
        <v>97</v>
      </c>
      <c r="W99" s="14">
        <v>-0.24270000457763671</v>
      </c>
      <c r="X99" s="4">
        <v>-0.3306999969482422</v>
      </c>
      <c r="Y99" s="4">
        <v>0.80819999694824218</v>
      </c>
      <c r="Z99" s="4">
        <v>0.11020000457763672</v>
      </c>
      <c r="AA99" s="4">
        <v>8.1700000762939456E-2</v>
      </c>
      <c r="AB99" s="4">
        <v>0</v>
      </c>
      <c r="AC99" s="4">
        <v>0.32689998626708983</v>
      </c>
      <c r="AD99" s="4">
        <v>3.559999942779541E-2</v>
      </c>
      <c r="AE99" s="4">
        <v>0.19870000839233398</v>
      </c>
      <c r="AF99" s="4">
        <v>7.9699997901916508E-2</v>
      </c>
      <c r="AG99" s="4">
        <v>1.2200000286102295E-2</v>
      </c>
      <c r="AH99" s="4">
        <v>1.909999966621399E-2</v>
      </c>
      <c r="AI99" s="4">
        <v>0</v>
      </c>
      <c r="AJ99" s="4">
        <v>0.18829999923706053</v>
      </c>
      <c r="AK99" s="4">
        <v>0.139399995803833</v>
      </c>
      <c r="AL99" s="4">
        <v>0</v>
      </c>
      <c r="AM99" s="4">
        <v>0</v>
      </c>
      <c r="AN99" s="12">
        <v>0</v>
      </c>
      <c r="AO99" s="13">
        <v>46322</v>
      </c>
    </row>
    <row r="100" spans="1:41" x14ac:dyDescent="0.3">
      <c r="A100" s="3" t="s">
        <v>166</v>
      </c>
      <c r="B100" s="3" t="s">
        <v>68</v>
      </c>
      <c r="C100" s="4">
        <v>0.16770000457763673</v>
      </c>
      <c r="D100" s="4">
        <v>0.20540000915527343</v>
      </c>
      <c r="E100" s="4">
        <v>7.5300002098083491E-2</v>
      </c>
      <c r="F100" s="4">
        <v>0.14640000343322754</v>
      </c>
      <c r="G100" s="5">
        <v>69</v>
      </c>
      <c r="H100" s="5">
        <v>21.840000152587891</v>
      </c>
      <c r="I100" s="5">
        <v>0.31000000238418579</v>
      </c>
      <c r="J100" s="5">
        <v>18</v>
      </c>
      <c r="K100" s="5">
        <v>0.84</v>
      </c>
      <c r="L100" s="6">
        <v>4400</v>
      </c>
      <c r="M100" s="7" t="s">
        <v>167</v>
      </c>
      <c r="N100" s="6">
        <v>2012</v>
      </c>
      <c r="O100" s="3" t="s">
        <v>168</v>
      </c>
      <c r="P100" s="4">
        <v>0.98639999389648436</v>
      </c>
      <c r="Q100" s="4">
        <v>0</v>
      </c>
      <c r="R100" s="8">
        <v>5</v>
      </c>
      <c r="S100" s="5">
        <v>-0.88999998569488525</v>
      </c>
      <c r="T100" s="5">
        <v>1.0099999904632568</v>
      </c>
      <c r="U100" s="9">
        <v>102</v>
      </c>
      <c r="V100" s="10">
        <v>108</v>
      </c>
      <c r="W100" s="14">
        <v>-0.24850000381469728</v>
      </c>
      <c r="X100" s="4">
        <v>-0.3306999969482422</v>
      </c>
      <c r="Y100" s="4">
        <v>0.65910003662109373</v>
      </c>
      <c r="Z100" s="4">
        <v>0.16280000686645507</v>
      </c>
      <c r="AA100" s="4">
        <v>0.1640999984741211</v>
      </c>
      <c r="AB100" s="4">
        <v>1.3899999856948852E-2</v>
      </c>
      <c r="AC100" s="4">
        <v>0.51759998321533207</v>
      </c>
      <c r="AD100" s="4">
        <v>0.10800000190734864</v>
      </c>
      <c r="AE100" s="4">
        <v>7.4499998092651371E-2</v>
      </c>
      <c r="AF100" s="4">
        <v>5.8000001907348636E-2</v>
      </c>
      <c r="AG100" s="4">
        <v>3.2400000095367434E-2</v>
      </c>
      <c r="AH100" s="4">
        <v>0</v>
      </c>
      <c r="AI100" s="4">
        <v>4.3899998664855958E-2</v>
      </c>
      <c r="AJ100" s="4">
        <v>8.3699998855590818E-2</v>
      </c>
      <c r="AK100" s="4">
        <v>7.8200001716613773E-2</v>
      </c>
      <c r="AL100" s="4">
        <v>0</v>
      </c>
      <c r="AM100" s="4">
        <v>3.7000000476837156E-3</v>
      </c>
      <c r="AN100" s="12">
        <v>0</v>
      </c>
      <c r="AO100" s="13">
        <v>46322</v>
      </c>
    </row>
    <row r="101" spans="1:41" x14ac:dyDescent="0.3">
      <c r="A101" s="17" t="s">
        <v>444</v>
      </c>
      <c r="B101" s="3" t="s">
        <v>418</v>
      </c>
      <c r="C101" s="4">
        <v>0.20790000915527343</v>
      </c>
      <c r="D101" s="4">
        <v>0.20209999084472657</v>
      </c>
      <c r="E101" s="4">
        <v>7.2600002288818355E-2</v>
      </c>
      <c r="F101" s="4">
        <v>7.5599999427795411E-2</v>
      </c>
      <c r="G101" s="5">
        <v>67</v>
      </c>
      <c r="H101" s="5">
        <v>9.380000114440918</v>
      </c>
      <c r="I101" s="5">
        <v>0.30000001192092896</v>
      </c>
      <c r="J101" s="5">
        <v>15.380000114440918</v>
      </c>
      <c r="K101" s="5">
        <v>0.23</v>
      </c>
      <c r="L101" s="6">
        <v>18000</v>
      </c>
      <c r="M101" s="7" t="s">
        <v>149</v>
      </c>
      <c r="N101" s="6">
        <v>2006</v>
      </c>
      <c r="O101" s="3" t="s">
        <v>445</v>
      </c>
      <c r="P101" s="4">
        <v>0.99889999389648443</v>
      </c>
      <c r="Q101" s="4">
        <v>0</v>
      </c>
      <c r="R101" s="8">
        <v>3</v>
      </c>
      <c r="S101" s="5">
        <v>-0.2199999988079071</v>
      </c>
      <c r="T101" s="5">
        <v>1.0299999713897705</v>
      </c>
      <c r="U101" s="9">
        <v>103</v>
      </c>
      <c r="V101" s="10">
        <v>104</v>
      </c>
      <c r="W101" s="14">
        <v>-0.2043000030517578</v>
      </c>
      <c r="X101" s="4">
        <v>-0.34599998474121096</v>
      </c>
      <c r="Y101" s="4">
        <v>1.2100000381469727E-2</v>
      </c>
      <c r="Z101" s="4">
        <v>6.4999997615814206E-3</v>
      </c>
      <c r="AA101" s="4">
        <v>0.50659999847412107</v>
      </c>
      <c r="AB101" s="4">
        <v>0.47499999999999998</v>
      </c>
      <c r="AC101" s="4">
        <v>0.44220001220703126</v>
      </c>
      <c r="AD101" s="4">
        <v>2.8800001144409181E-2</v>
      </c>
      <c r="AE101" s="4">
        <v>0.19069999694824219</v>
      </c>
      <c r="AF101" s="4">
        <v>5.8499999046325683E-2</v>
      </c>
      <c r="AG101" s="4">
        <v>5.7199997901916502E-2</v>
      </c>
      <c r="AH101" s="4">
        <v>2.4400000572204591E-2</v>
      </c>
      <c r="AI101" s="4">
        <v>3.5299999713897703E-2</v>
      </c>
      <c r="AJ101" s="4">
        <v>7.4899997711181637E-2</v>
      </c>
      <c r="AK101" s="4">
        <v>6.0599999427795412E-2</v>
      </c>
      <c r="AL101" s="4">
        <v>9.3999999761581413E-3</v>
      </c>
      <c r="AM101" s="4">
        <v>1.8099999427795409E-2</v>
      </c>
      <c r="AN101" s="12">
        <v>0</v>
      </c>
      <c r="AO101" s="13">
        <v>46322</v>
      </c>
    </row>
    <row r="102" spans="1:41" x14ac:dyDescent="0.3">
      <c r="A102" s="3" t="s">
        <v>169</v>
      </c>
      <c r="B102" s="3" t="s">
        <v>68</v>
      </c>
      <c r="C102" s="4">
        <v>8.6700000762939447E-2</v>
      </c>
      <c r="D102" s="4">
        <v>0.16699399948120117</v>
      </c>
      <c r="E102" s="4">
        <v>6.7970399856567387E-2</v>
      </c>
      <c r="F102" s="4">
        <v>0.12179900169372558</v>
      </c>
      <c r="G102" s="5">
        <v>66</v>
      </c>
      <c r="H102" s="5">
        <v>16.049999237060547</v>
      </c>
      <c r="I102" s="5">
        <v>0.27000001072883606</v>
      </c>
      <c r="J102" s="5">
        <v>14.289999961853027</v>
      </c>
      <c r="L102" s="6">
        <v>16100</v>
      </c>
      <c r="M102" s="7" t="s">
        <v>170</v>
      </c>
      <c r="N102" s="6">
        <v>2015</v>
      </c>
      <c r="O102" s="3" t="s">
        <v>171</v>
      </c>
      <c r="P102" s="4">
        <v>0.97199996948242184</v>
      </c>
      <c r="Q102" s="4">
        <v>0</v>
      </c>
      <c r="R102" s="8">
        <v>0</v>
      </c>
      <c r="S102" s="5">
        <v>0</v>
      </c>
      <c r="T102" s="5">
        <v>0</v>
      </c>
      <c r="U102" s="10">
        <v>0</v>
      </c>
      <c r="V102" s="9">
        <v>0</v>
      </c>
      <c r="W102" s="14">
        <v>-0.21409999847412109</v>
      </c>
      <c r="X102" s="4">
        <v>-0.3306999969482422</v>
      </c>
      <c r="Y102" s="4">
        <v>0.60180000305175785</v>
      </c>
      <c r="Z102" s="4">
        <v>0.22309999465942382</v>
      </c>
      <c r="AA102" s="4">
        <v>0.15239999771118165</v>
      </c>
      <c r="AB102" s="4">
        <v>2.2300000190734862E-2</v>
      </c>
      <c r="AC102" s="4">
        <v>0.34400001525878904</v>
      </c>
      <c r="AD102" s="4">
        <v>0.11180000305175782</v>
      </c>
      <c r="AE102" s="4">
        <v>9.9300003051757818E-2</v>
      </c>
      <c r="AF102" s="4">
        <v>0.10640000343322754</v>
      </c>
      <c r="AG102" s="4">
        <v>3.7000000476837158E-2</v>
      </c>
      <c r="AH102" s="4">
        <v>3.5799999237060544E-2</v>
      </c>
      <c r="AI102" s="4">
        <v>1.7100000381469728E-2</v>
      </c>
      <c r="AJ102" s="4">
        <v>0.10430000305175781</v>
      </c>
      <c r="AK102" s="4">
        <v>0.12869999885559083</v>
      </c>
      <c r="AL102" s="4">
        <v>8.7999999523162842E-3</v>
      </c>
      <c r="AM102" s="4">
        <v>6.8999999761581417E-3</v>
      </c>
      <c r="AN102" s="12">
        <v>0</v>
      </c>
      <c r="AO102" s="13">
        <v>46322</v>
      </c>
    </row>
    <row r="103" spans="1:41" x14ac:dyDescent="0.3">
      <c r="A103" s="17" t="s">
        <v>172</v>
      </c>
      <c r="B103" s="3" t="s">
        <v>84</v>
      </c>
      <c r="C103" s="4">
        <v>0.17870000839233399</v>
      </c>
      <c r="D103" s="4">
        <v>0.17930000305175781</v>
      </c>
      <c r="E103" s="4">
        <v>6.7699999809265138E-2</v>
      </c>
      <c r="F103" s="4">
        <v>9.3800001144409173E-2</v>
      </c>
      <c r="G103" s="5">
        <v>65</v>
      </c>
      <c r="H103" s="5">
        <v>13.609999656677246</v>
      </c>
      <c r="I103" s="5">
        <v>0.20999999344348907</v>
      </c>
      <c r="J103" s="5">
        <v>15.710000038146973</v>
      </c>
      <c r="K103" s="5">
        <v>0.3</v>
      </c>
      <c r="L103" s="6">
        <v>7100</v>
      </c>
      <c r="M103" s="7" t="s">
        <v>149</v>
      </c>
      <c r="N103" s="6">
        <v>2009</v>
      </c>
      <c r="O103" s="3" t="s">
        <v>173</v>
      </c>
      <c r="P103" s="4">
        <v>0.9991000366210937</v>
      </c>
      <c r="Q103" s="4">
        <v>0</v>
      </c>
      <c r="R103" s="8">
        <v>4</v>
      </c>
      <c r="S103" s="5">
        <v>-0.51999998092651367</v>
      </c>
      <c r="T103" s="5">
        <v>1.0900000333786011</v>
      </c>
      <c r="U103" s="9">
        <v>114</v>
      </c>
      <c r="V103" s="10">
        <v>125</v>
      </c>
      <c r="W103" s="11">
        <v>-0.15359999656677245</v>
      </c>
      <c r="X103" s="4">
        <v>-0.11140000343322753</v>
      </c>
      <c r="Y103" s="4">
        <v>0.65129997253417971</v>
      </c>
      <c r="Z103" s="4">
        <v>0.14899999618530274</v>
      </c>
      <c r="AA103" s="4">
        <v>0.17959999084472655</v>
      </c>
      <c r="AB103" s="4">
        <v>1.9800000190734864E-2</v>
      </c>
      <c r="AC103" s="4">
        <v>0.14270000457763671</v>
      </c>
      <c r="AD103" s="4">
        <v>0.12029999732971192</v>
      </c>
      <c r="AE103" s="4">
        <v>0.13829999923706054</v>
      </c>
      <c r="AF103" s="4">
        <v>3.1900000572204587E-2</v>
      </c>
      <c r="AG103" s="4">
        <v>7.9299998283386228E-2</v>
      </c>
      <c r="AH103" s="4">
        <v>4.0100002288818361E-2</v>
      </c>
      <c r="AI103" s="4">
        <v>4.9099998474121095E-2</v>
      </c>
      <c r="AJ103" s="4">
        <v>0.10720000267028809</v>
      </c>
      <c r="AK103" s="4">
        <v>0.18510000228881837</v>
      </c>
      <c r="AL103" s="4">
        <v>8.0600004196166988E-2</v>
      </c>
      <c r="AM103" s="4">
        <v>2.5499999523162842E-2</v>
      </c>
      <c r="AN103" s="12">
        <v>0</v>
      </c>
      <c r="AO103" s="13">
        <v>46322</v>
      </c>
    </row>
    <row r="104" spans="1:41" x14ac:dyDescent="0.3">
      <c r="A104" s="3" t="s">
        <v>468</v>
      </c>
      <c r="B104" s="3" t="s">
        <v>469</v>
      </c>
      <c r="C104" s="4">
        <v>6.1399998664855959E-2</v>
      </c>
      <c r="D104" s="4">
        <v>8.3299999237060551E-2</v>
      </c>
      <c r="E104" s="4">
        <v>6.7500000000000004E-2</v>
      </c>
      <c r="F104" s="4">
        <v>5.1900000572204591E-2</v>
      </c>
      <c r="G104" s="5">
        <v>14</v>
      </c>
      <c r="H104" s="5">
        <v>12.630000114440918</v>
      </c>
      <c r="I104" s="5">
        <v>1.1000000238418579</v>
      </c>
      <c r="J104" s="5">
        <v>3.9300000667572021</v>
      </c>
      <c r="K104" s="5">
        <v>0.72</v>
      </c>
      <c r="L104" s="6">
        <v>639</v>
      </c>
      <c r="M104" s="7" t="s">
        <v>470</v>
      </c>
      <c r="N104" s="6">
        <v>2017</v>
      </c>
      <c r="O104" s="3" t="s">
        <v>471</v>
      </c>
      <c r="P104" s="4">
        <v>0</v>
      </c>
      <c r="Q104" s="4">
        <v>0.25309999465942384</v>
      </c>
      <c r="R104" s="8">
        <v>0</v>
      </c>
      <c r="S104" s="5">
        <v>3.4300000667572021</v>
      </c>
      <c r="T104" s="5">
        <v>0.31000000238418579</v>
      </c>
      <c r="U104" s="10">
        <v>51</v>
      </c>
      <c r="V104" s="9">
        <v>7</v>
      </c>
      <c r="W104" s="14">
        <v>-4.8200001716613768E-2</v>
      </c>
      <c r="X104" s="4">
        <v>-0.14749999999999999</v>
      </c>
      <c r="Y104" s="4">
        <v>0.10729999542236328</v>
      </c>
      <c r="Z104" s="4">
        <v>0.8908999633789062</v>
      </c>
      <c r="AA104" s="4">
        <v>1.7000000178813935E-3</v>
      </c>
      <c r="AB104" s="4">
        <v>1.9999999552965163E-4</v>
      </c>
      <c r="AC104" s="4">
        <v>0.15100000381469728</v>
      </c>
      <c r="AD104" s="4">
        <v>0.120600004196167</v>
      </c>
      <c r="AE104" s="4">
        <v>0.12380000114440919</v>
      </c>
      <c r="AF104" s="4">
        <v>8.3900003433227538E-2</v>
      </c>
      <c r="AG104" s="4">
        <v>1.5199999809265136E-2</v>
      </c>
      <c r="AH104" s="4">
        <v>0.10710000038146973</v>
      </c>
      <c r="AI104" s="4">
        <v>1.600000023841858E-2</v>
      </c>
      <c r="AJ104" s="4">
        <v>5.7100000381469729E-2</v>
      </c>
      <c r="AK104" s="4">
        <v>0.19750000000000001</v>
      </c>
      <c r="AL104" s="4">
        <v>0</v>
      </c>
      <c r="AM104" s="4">
        <v>0.12800000190734864</v>
      </c>
      <c r="AN104" s="12">
        <v>0</v>
      </c>
      <c r="AO104" s="13">
        <v>46322</v>
      </c>
    </row>
    <row r="105" spans="1:41" x14ac:dyDescent="0.3">
      <c r="A105" s="3" t="s">
        <v>174</v>
      </c>
      <c r="B105" s="3" t="s">
        <v>68</v>
      </c>
      <c r="C105" s="4">
        <v>4.4499998092651365E-2</v>
      </c>
      <c r="D105" s="4">
        <v>7.420000076293945E-2</v>
      </c>
      <c r="E105" s="4">
        <v>6.4000000953674321E-2</v>
      </c>
      <c r="G105" s="5">
        <v>74</v>
      </c>
      <c r="H105" s="5">
        <v>16.010000228881836</v>
      </c>
      <c r="I105" s="5">
        <v>0.31999999284744263</v>
      </c>
      <c r="J105" s="5">
        <v>13.380000114440918</v>
      </c>
      <c r="K105" s="5">
        <v>0.74</v>
      </c>
      <c r="L105" s="6">
        <v>3100</v>
      </c>
      <c r="M105" s="7" t="s">
        <v>175</v>
      </c>
      <c r="N105" s="6">
        <v>2019</v>
      </c>
      <c r="O105" s="3" t="s">
        <v>176</v>
      </c>
      <c r="P105" s="4">
        <v>0.98919998168945311</v>
      </c>
      <c r="Q105" s="4">
        <v>0</v>
      </c>
      <c r="R105" s="8">
        <v>3</v>
      </c>
      <c r="S105" s="5">
        <v>1.2899999618530273</v>
      </c>
      <c r="T105" s="5">
        <v>0.47999998927116394</v>
      </c>
      <c r="U105" s="10">
        <v>60</v>
      </c>
      <c r="V105" s="9">
        <v>52</v>
      </c>
      <c r="W105" s="14">
        <v>-0.18819999694824219</v>
      </c>
      <c r="X105" s="4">
        <v>-0.3306999969482422</v>
      </c>
      <c r="Y105" s="4">
        <v>0.69529998779296875</v>
      </c>
      <c r="Z105" s="4">
        <v>0.15079999923706056</v>
      </c>
      <c r="AA105" s="4">
        <v>8.1099996566772456E-2</v>
      </c>
      <c r="AB105" s="4">
        <v>7.2899999618530276E-2</v>
      </c>
      <c r="AC105" s="4">
        <v>0.50939998626708982</v>
      </c>
      <c r="AD105" s="4">
        <v>5.3600001335144046E-2</v>
      </c>
      <c r="AE105" s="4">
        <v>9.9700002670288085E-2</v>
      </c>
      <c r="AF105" s="4">
        <v>9.6400003433227535E-2</v>
      </c>
      <c r="AG105" s="4">
        <v>9.4999998807907098E-3</v>
      </c>
      <c r="AH105" s="4">
        <v>4.0199999809265134E-2</v>
      </c>
      <c r="AI105" s="4">
        <v>5.1399998664855957E-2</v>
      </c>
      <c r="AJ105" s="4">
        <v>4.6999998092651367E-2</v>
      </c>
      <c r="AK105" s="4">
        <v>5.7500000000000002E-2</v>
      </c>
      <c r="AL105" s="4">
        <v>0</v>
      </c>
      <c r="AM105" s="4">
        <v>3.5299999713897703E-2</v>
      </c>
      <c r="AN105" s="12">
        <v>8.380526676774025E-3</v>
      </c>
      <c r="AO105" s="13">
        <v>46322</v>
      </c>
    </row>
    <row r="106" spans="1:41" x14ac:dyDescent="0.3">
      <c r="A106" s="3" t="s">
        <v>177</v>
      </c>
      <c r="B106" s="3" t="s">
        <v>84</v>
      </c>
      <c r="C106" s="4">
        <v>0.3120000076293945</v>
      </c>
      <c r="D106" s="4">
        <v>0.17280000686645508</v>
      </c>
      <c r="E106" s="4">
        <v>6.2899999618530267E-2</v>
      </c>
      <c r="G106" s="5">
        <v>74</v>
      </c>
      <c r="H106" s="5">
        <v>10.300000190734863</v>
      </c>
      <c r="I106" s="5">
        <v>0.17000000178813934</v>
      </c>
      <c r="J106" s="5">
        <v>11.390000343322754</v>
      </c>
      <c r="K106" s="5">
        <v>1.71</v>
      </c>
      <c r="L106" s="6">
        <v>5</v>
      </c>
      <c r="M106" s="7" t="s">
        <v>178</v>
      </c>
      <c r="N106" s="6">
        <v>2021</v>
      </c>
      <c r="O106" s="3" t="s">
        <v>179</v>
      </c>
      <c r="P106" s="4">
        <v>0.82360000610351558</v>
      </c>
      <c r="Q106" s="4">
        <v>0</v>
      </c>
      <c r="R106" s="8">
        <v>4</v>
      </c>
      <c r="S106" s="5">
        <v>-0.20999999344348907</v>
      </c>
      <c r="T106" s="5">
        <v>0.69999998807907104</v>
      </c>
      <c r="U106" s="10">
        <v>81</v>
      </c>
      <c r="V106" s="9">
        <v>81</v>
      </c>
      <c r="W106" s="14">
        <v>-0.20059999465942382</v>
      </c>
      <c r="X106" s="4">
        <v>-0.31540000915527344</v>
      </c>
      <c r="Y106" s="4">
        <v>0.40069999694824221</v>
      </c>
      <c r="Z106" s="4">
        <v>0.48599998474121092</v>
      </c>
      <c r="AA106" s="4">
        <v>8.4399995803833006E-2</v>
      </c>
      <c r="AB106" s="4">
        <v>2.9000000953674318E-2</v>
      </c>
      <c r="AC106" s="4">
        <v>5.2399997711181638E-2</v>
      </c>
      <c r="AD106" s="4">
        <v>3.5899999141693117E-2</v>
      </c>
      <c r="AE106" s="4">
        <v>0.14079999923706055</v>
      </c>
      <c r="AF106" s="4">
        <v>0.14479999542236327</v>
      </c>
      <c r="AG106" s="4">
        <v>0.11489999771118165</v>
      </c>
      <c r="AH106" s="4">
        <v>0</v>
      </c>
      <c r="AI106" s="4">
        <v>9.7399997711181643E-2</v>
      </c>
      <c r="AJ106" s="4">
        <v>6.3699998855590814E-2</v>
      </c>
      <c r="AK106" s="4">
        <v>0.32220001220703126</v>
      </c>
      <c r="AL106" s="4">
        <v>2.7799999713897704E-2</v>
      </c>
      <c r="AM106" s="4">
        <v>0</v>
      </c>
      <c r="AN106" s="12">
        <v>0</v>
      </c>
      <c r="AO106" s="13">
        <v>46322</v>
      </c>
    </row>
    <row r="107" spans="1:41" x14ac:dyDescent="0.3">
      <c r="A107" s="3" t="s">
        <v>472</v>
      </c>
      <c r="B107" s="3" t="s">
        <v>473</v>
      </c>
      <c r="C107" s="4">
        <v>7.3299999237060542E-2</v>
      </c>
      <c r="D107" s="4">
        <v>9.460000038146972E-2</v>
      </c>
      <c r="E107" s="15">
        <v>6.2300000190734867E-2</v>
      </c>
      <c r="G107" s="5">
        <v>13</v>
      </c>
      <c r="H107" s="5">
        <v>10.479999542236328</v>
      </c>
      <c r="I107" s="5">
        <v>2.630000114440918</v>
      </c>
      <c r="J107" s="5">
        <v>2.2899999618530273</v>
      </c>
      <c r="K107" s="5">
        <v>0.56000000000000005</v>
      </c>
      <c r="L107" s="6">
        <v>649</v>
      </c>
      <c r="M107" s="7" t="s">
        <v>49</v>
      </c>
      <c r="N107" s="6">
        <v>2021</v>
      </c>
      <c r="O107" s="3" t="s">
        <v>474</v>
      </c>
      <c r="P107" s="4">
        <v>6.1900000572204593E-2</v>
      </c>
      <c r="Q107" s="4">
        <v>0.82410003662109377</v>
      </c>
      <c r="R107" s="8">
        <v>5</v>
      </c>
      <c r="S107" s="5">
        <v>5.5199999809265137</v>
      </c>
      <c r="T107" s="5">
        <v>0.27000001072883606</v>
      </c>
      <c r="U107" s="10">
        <v>91</v>
      </c>
      <c r="V107" s="9">
        <v>-29</v>
      </c>
      <c r="W107" s="14">
        <v>-7.5999999046325682E-3</v>
      </c>
      <c r="X107" s="4">
        <v>-3.3299999237060549E-2</v>
      </c>
      <c r="Y107" s="4">
        <v>4.9099998474121095E-2</v>
      </c>
      <c r="Z107" s="4">
        <v>0.62360000610351563</v>
      </c>
      <c r="AA107" s="4">
        <v>3.3199999332427982E-2</v>
      </c>
      <c r="AB107" s="4">
        <v>0.2940999984741211</v>
      </c>
      <c r="AC107" s="4">
        <v>0</v>
      </c>
      <c r="AD107" s="4">
        <v>0.1509000015258789</v>
      </c>
      <c r="AE107" s="4">
        <v>0.13239999771118163</v>
      </c>
      <c r="AF107" s="4">
        <v>0.13640000343322753</v>
      </c>
      <c r="AG107" s="4">
        <v>0</v>
      </c>
      <c r="AH107" s="4">
        <v>0</v>
      </c>
      <c r="AI107" s="4">
        <v>0.23860000610351562</v>
      </c>
      <c r="AJ107" s="4">
        <v>0.24290000915527343</v>
      </c>
      <c r="AK107" s="4">
        <v>9.8900003433227537E-2</v>
      </c>
      <c r="AL107" s="4">
        <v>0</v>
      </c>
      <c r="AM107" s="4">
        <v>0</v>
      </c>
      <c r="AN107" s="12">
        <v>3.4896910190582275E-2</v>
      </c>
      <c r="AO107" s="13">
        <v>46322</v>
      </c>
    </row>
    <row r="108" spans="1:41" x14ac:dyDescent="0.3">
      <c r="A108" s="3" t="s">
        <v>180</v>
      </c>
      <c r="B108" s="3" t="s">
        <v>58</v>
      </c>
      <c r="C108" s="4">
        <v>0.12289999961853028</v>
      </c>
      <c r="D108" s="4">
        <v>0.18620000839233397</v>
      </c>
      <c r="E108" s="4">
        <v>6.0500001907348631E-2</v>
      </c>
      <c r="F108" s="4">
        <v>0.13729999542236329</v>
      </c>
      <c r="G108" s="5">
        <v>75</v>
      </c>
      <c r="H108" s="5">
        <v>18.700000762939453</v>
      </c>
      <c r="I108" s="5">
        <v>0.20999999344348907</v>
      </c>
      <c r="J108" s="5">
        <v>18.889999389648438</v>
      </c>
      <c r="K108" s="5">
        <v>0.92</v>
      </c>
      <c r="L108" s="6">
        <v>1400</v>
      </c>
      <c r="M108" s="7" t="s">
        <v>181</v>
      </c>
      <c r="N108" s="6">
        <v>2016</v>
      </c>
      <c r="O108" s="3" t="s">
        <v>182</v>
      </c>
      <c r="P108" s="4">
        <v>0.98290000915527342</v>
      </c>
      <c r="Q108" s="4">
        <v>0</v>
      </c>
      <c r="R108" s="8">
        <v>4</v>
      </c>
      <c r="S108" s="5">
        <v>-3.119999885559082</v>
      </c>
      <c r="T108" s="5">
        <v>1.0900000333786011</v>
      </c>
      <c r="U108" s="9">
        <v>103</v>
      </c>
      <c r="V108" s="10">
        <v>118</v>
      </c>
      <c r="W108" s="14">
        <v>-0.28260000228881837</v>
      </c>
      <c r="X108" s="4">
        <v>-0.3306999969482422</v>
      </c>
      <c r="Y108" s="4">
        <v>0.66629997253417972</v>
      </c>
      <c r="Z108" s="4">
        <v>0.17950000762939453</v>
      </c>
      <c r="AA108" s="4">
        <v>0.108100004196167</v>
      </c>
      <c r="AB108" s="4">
        <v>4.6199998855590819E-2</v>
      </c>
      <c r="AC108" s="4">
        <v>0.44240001678466795</v>
      </c>
      <c r="AD108" s="4">
        <v>9.6400003433227535E-2</v>
      </c>
      <c r="AE108" s="4">
        <v>0.11340000152587891</v>
      </c>
      <c r="AF108" s="4">
        <v>0.11699999809265137</v>
      </c>
      <c r="AG108" s="4">
        <v>3.2300000190734861E-2</v>
      </c>
      <c r="AH108" s="4">
        <v>0</v>
      </c>
      <c r="AI108" s="4">
        <v>0</v>
      </c>
      <c r="AJ108" s="4">
        <v>0.10640000343322754</v>
      </c>
      <c r="AK108" s="4">
        <v>9.2200002670288092E-2</v>
      </c>
      <c r="AL108" s="4">
        <v>0</v>
      </c>
      <c r="AM108" s="4">
        <v>0</v>
      </c>
      <c r="AN108" s="12">
        <v>5.792129784822464E-3</v>
      </c>
      <c r="AO108" s="13">
        <v>46322</v>
      </c>
    </row>
    <row r="109" spans="1:41" x14ac:dyDescent="0.3">
      <c r="A109" s="18" t="s">
        <v>481</v>
      </c>
      <c r="B109" s="3" t="s">
        <v>482</v>
      </c>
      <c r="C109" s="4">
        <v>3.8299999237060546E-2</v>
      </c>
      <c r="D109" s="4">
        <v>5.7800002098083496E-2</v>
      </c>
      <c r="E109" s="4">
        <v>6.0500001907348631E-2</v>
      </c>
      <c r="F109" s="4">
        <v>6.3400001525878907E-2</v>
      </c>
      <c r="G109" s="5">
        <v>4</v>
      </c>
      <c r="H109" s="5">
        <v>0</v>
      </c>
      <c r="I109" s="5">
        <v>0.18000000715255737</v>
      </c>
      <c r="J109" s="5">
        <v>2.0799999237060547</v>
      </c>
      <c r="K109" s="5">
        <v>1.01</v>
      </c>
      <c r="L109" s="6">
        <v>1700</v>
      </c>
      <c r="M109" s="7" t="s">
        <v>483</v>
      </c>
      <c r="N109" s="6">
        <v>2008</v>
      </c>
      <c r="O109" s="3" t="s">
        <v>484</v>
      </c>
      <c r="P109" s="4">
        <v>8.5000002384185789E-3</v>
      </c>
      <c r="Q109" s="4">
        <v>0.88470001220703121</v>
      </c>
      <c r="R109" s="8">
        <v>0</v>
      </c>
      <c r="S109" s="5">
        <v>0</v>
      </c>
      <c r="T109" s="5">
        <v>0</v>
      </c>
      <c r="U109" s="10">
        <v>0</v>
      </c>
      <c r="V109" s="9">
        <v>0</v>
      </c>
      <c r="W109" s="4">
        <v>-1.4999999999999999E-2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12">
        <v>1.3177108019590378E-2</v>
      </c>
      <c r="AO109" s="13">
        <v>46322</v>
      </c>
    </row>
    <row r="110" spans="1:41" x14ac:dyDescent="0.3">
      <c r="A110" s="3" t="s">
        <v>446</v>
      </c>
      <c r="B110" s="3" t="s">
        <v>447</v>
      </c>
      <c r="C110" s="4">
        <v>9.7200002670288083E-2</v>
      </c>
      <c r="D110" s="4">
        <v>1.6499999761581421E-2</v>
      </c>
      <c r="E110" s="4">
        <v>6.0399999618530271E-2</v>
      </c>
      <c r="F110" s="4">
        <v>0.10670000076293945</v>
      </c>
      <c r="G110" s="5">
        <v>68</v>
      </c>
      <c r="H110" s="5">
        <v>10.659999847412109</v>
      </c>
      <c r="I110" s="5">
        <v>0.31000000238418579</v>
      </c>
      <c r="J110" s="5">
        <v>14.590000152587891</v>
      </c>
      <c r="K110" s="5">
        <v>1.5</v>
      </c>
      <c r="L110" s="6">
        <v>41</v>
      </c>
      <c r="M110" s="7" t="s">
        <v>448</v>
      </c>
      <c r="N110" s="6">
        <v>2017</v>
      </c>
      <c r="O110" s="3" t="s">
        <v>449</v>
      </c>
      <c r="P110" s="4">
        <v>0.98620002746582036</v>
      </c>
      <c r="Q110" s="4">
        <v>0</v>
      </c>
      <c r="R110" s="8">
        <v>4</v>
      </c>
      <c r="S110" s="5">
        <v>2.7000000476837158</v>
      </c>
      <c r="T110" s="5">
        <v>0.76999998092651367</v>
      </c>
      <c r="U110" s="10">
        <v>87</v>
      </c>
      <c r="V110" s="9">
        <v>71</v>
      </c>
      <c r="W110" s="14">
        <v>-0.1615999984741211</v>
      </c>
      <c r="X110" s="4">
        <v>-0.17770000457763671</v>
      </c>
      <c r="Y110" s="4">
        <v>0</v>
      </c>
      <c r="Z110" s="4">
        <v>0</v>
      </c>
      <c r="AA110" s="4">
        <v>0</v>
      </c>
      <c r="AB110" s="4">
        <v>1</v>
      </c>
      <c r="AC110" s="4">
        <v>1.399999976158142E-2</v>
      </c>
      <c r="AD110" s="4">
        <v>3.0299999713897706E-2</v>
      </c>
      <c r="AE110" s="4">
        <v>0.36779998779296874</v>
      </c>
      <c r="AF110" s="4">
        <v>1.3799999952316283E-2</v>
      </c>
      <c r="AG110" s="4">
        <v>0.16079999923706054</v>
      </c>
      <c r="AH110" s="4">
        <v>4.0999999046325682E-2</v>
      </c>
      <c r="AI110" s="4">
        <v>0.12600000381469725</v>
      </c>
      <c r="AJ110" s="4">
        <v>6.7600002288818364E-2</v>
      </c>
      <c r="AK110" s="4">
        <v>7.2100000381469728E-2</v>
      </c>
      <c r="AL110" s="4">
        <v>9.8199996948242191E-2</v>
      </c>
      <c r="AM110" s="4">
        <v>8.5000002384185789E-3</v>
      </c>
      <c r="AN110" s="12">
        <v>1.7590954899787903E-2</v>
      </c>
      <c r="AO110" s="13">
        <v>46322</v>
      </c>
    </row>
    <row r="111" spans="1:41" x14ac:dyDescent="0.3">
      <c r="A111" s="3" t="s">
        <v>183</v>
      </c>
      <c r="B111" s="3" t="s">
        <v>119</v>
      </c>
      <c r="C111" s="4">
        <v>3.2500000000000001E-2</v>
      </c>
      <c r="D111" s="4">
        <v>0.12069999694824218</v>
      </c>
      <c r="E111" s="4">
        <v>6.0399999618530271E-2</v>
      </c>
      <c r="F111" s="4">
        <v>7.6700000762939452E-2</v>
      </c>
      <c r="G111" s="5">
        <v>54</v>
      </c>
      <c r="H111" s="5">
        <v>17.360000610351562</v>
      </c>
      <c r="I111" s="5">
        <v>0.49000000953674316</v>
      </c>
      <c r="J111" s="5">
        <v>11.050000190734863</v>
      </c>
      <c r="K111" s="5">
        <v>1.6</v>
      </c>
      <c r="L111" s="6">
        <v>10400</v>
      </c>
      <c r="M111" s="7" t="s">
        <v>184</v>
      </c>
      <c r="N111" s="6">
        <v>2008</v>
      </c>
      <c r="O111" s="3" t="s">
        <v>185</v>
      </c>
      <c r="P111" s="4">
        <v>0.8273000335693359</v>
      </c>
      <c r="Q111" s="4">
        <v>1.7799999713897705E-2</v>
      </c>
      <c r="R111" s="8">
        <v>5</v>
      </c>
      <c r="S111" s="5">
        <v>2.0799999237060547</v>
      </c>
      <c r="T111" s="5">
        <v>1.0900000333786011</v>
      </c>
      <c r="U111" s="9">
        <v>115</v>
      </c>
      <c r="V111" s="10">
        <v>132</v>
      </c>
      <c r="W111" s="11">
        <v>-7.8400001525878907E-2</v>
      </c>
      <c r="X111" s="4">
        <v>-5.0300002098083496E-2</v>
      </c>
      <c r="Y111" s="4">
        <v>0.5106000137329102</v>
      </c>
      <c r="Z111" s="4">
        <v>0.18540000915527344</v>
      </c>
      <c r="AA111" s="4">
        <v>0</v>
      </c>
      <c r="AB111" s="4">
        <v>0.30399999618530271</v>
      </c>
      <c r="AC111" s="4">
        <v>0.13369999885559081</v>
      </c>
      <c r="AD111" s="4">
        <v>0.13789999961853028</v>
      </c>
      <c r="AE111" s="4">
        <v>0.11199999809265136</v>
      </c>
      <c r="AF111" s="4">
        <v>0.11819999694824218</v>
      </c>
      <c r="AG111" s="4">
        <v>0.18459999084472656</v>
      </c>
      <c r="AH111" s="4">
        <v>7.2000002861022953E-3</v>
      </c>
      <c r="AI111" s="4">
        <v>0</v>
      </c>
      <c r="AJ111" s="4">
        <v>0.1768000030517578</v>
      </c>
      <c r="AK111" s="4">
        <v>0.10760000228881836</v>
      </c>
      <c r="AL111" s="4">
        <v>4.1999998688697811E-3</v>
      </c>
      <c r="AM111" s="4">
        <v>1.7999999523162842E-2</v>
      </c>
      <c r="AN111" s="12">
        <v>0</v>
      </c>
      <c r="AO111" s="13">
        <v>46322</v>
      </c>
    </row>
    <row r="112" spans="1:41" x14ac:dyDescent="0.3">
      <c r="A112" s="3" t="s">
        <v>401</v>
      </c>
      <c r="B112" s="3" t="s">
        <v>402</v>
      </c>
      <c r="C112" s="4">
        <v>6.0300002098083498E-2</v>
      </c>
      <c r="D112" s="4">
        <v>0.12949999809265136</v>
      </c>
      <c r="E112" s="4">
        <v>6.0399999618530271E-2</v>
      </c>
      <c r="G112" s="5">
        <v>75</v>
      </c>
      <c r="H112" s="5">
        <v>26.399999618530273</v>
      </c>
      <c r="I112" s="5">
        <v>0.15000000596046448</v>
      </c>
      <c r="J112" s="5">
        <v>15.430000305175781</v>
      </c>
      <c r="K112" s="5">
        <v>1.1000000000000001</v>
      </c>
      <c r="L112" s="6">
        <v>2100</v>
      </c>
      <c r="M112" s="7" t="s">
        <v>403</v>
      </c>
      <c r="N112" s="6">
        <v>2007</v>
      </c>
      <c r="O112" s="3" t="s">
        <v>404</v>
      </c>
      <c r="P112" s="4">
        <v>0.95499999999999996</v>
      </c>
      <c r="Q112" s="4">
        <v>0</v>
      </c>
      <c r="R112" s="8">
        <v>4</v>
      </c>
      <c r="S112" s="5">
        <v>1.8999999761581421</v>
      </c>
      <c r="T112" s="5">
        <v>1</v>
      </c>
      <c r="U112" s="9">
        <v>106</v>
      </c>
      <c r="V112" s="16">
        <v>100</v>
      </c>
      <c r="W112" s="14">
        <v>-0.19290000915527344</v>
      </c>
      <c r="X112" s="4">
        <v>-0.25649999618530273</v>
      </c>
      <c r="Y112" s="4">
        <v>0.55680000305175781</v>
      </c>
      <c r="Z112" s="4">
        <v>0.19649999618530273</v>
      </c>
      <c r="AA112" s="4">
        <v>1.6399999856948854E-2</v>
      </c>
      <c r="AB112" s="4">
        <v>0.23030000686645508</v>
      </c>
      <c r="AC112" s="4">
        <v>0</v>
      </c>
      <c r="AD112" s="4">
        <v>1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4">
        <v>0</v>
      </c>
      <c r="AM112" s="4">
        <v>0</v>
      </c>
      <c r="AN112" s="12">
        <v>5.5079865269362926E-3</v>
      </c>
      <c r="AO112" s="13">
        <v>46322</v>
      </c>
    </row>
    <row r="113" spans="1:41" x14ac:dyDescent="0.3">
      <c r="A113" s="3" t="s">
        <v>450</v>
      </c>
      <c r="B113" s="3" t="s">
        <v>421</v>
      </c>
      <c r="C113" s="4">
        <v>0.17870000839233399</v>
      </c>
      <c r="D113" s="4">
        <v>0.18940000534057616</v>
      </c>
      <c r="E113" s="4">
        <v>0.06</v>
      </c>
      <c r="F113" s="4">
        <v>9.8299999237060551E-2</v>
      </c>
      <c r="G113" s="5">
        <v>80</v>
      </c>
      <c r="H113" s="5">
        <v>9.5699996948242187</v>
      </c>
      <c r="I113" s="5">
        <v>0.28999999165534973</v>
      </c>
      <c r="J113" s="5">
        <v>17.649999618530273</v>
      </c>
      <c r="K113" s="5">
        <v>1.29</v>
      </c>
      <c r="L113" s="6">
        <v>5300</v>
      </c>
      <c r="M113" s="7" t="s">
        <v>451</v>
      </c>
      <c r="N113" s="6">
        <v>2004</v>
      </c>
      <c r="O113" s="3" t="s">
        <v>452</v>
      </c>
      <c r="P113" s="4">
        <v>0.97440002441406248</v>
      </c>
      <c r="Q113" s="4">
        <v>0</v>
      </c>
      <c r="R113" s="8">
        <v>4</v>
      </c>
      <c r="S113" s="5">
        <v>-0.52999997138977051</v>
      </c>
      <c r="T113" s="5">
        <v>1.0299999713897705</v>
      </c>
      <c r="U113" s="9">
        <v>107</v>
      </c>
      <c r="V113" s="10">
        <v>112</v>
      </c>
      <c r="W113" s="14">
        <v>-0.22170000076293944</v>
      </c>
      <c r="X113" s="4">
        <v>-0.36599998474121093</v>
      </c>
      <c r="Y113" s="4">
        <v>0.01</v>
      </c>
      <c r="Z113" s="4">
        <v>0</v>
      </c>
      <c r="AA113" s="4">
        <v>0.64550003051757809</v>
      </c>
      <c r="AB113" s="4">
        <v>0.34450000762939453</v>
      </c>
      <c r="AC113" s="4">
        <v>0.50450000762939451</v>
      </c>
      <c r="AD113" s="4">
        <v>6.0999999046325686E-2</v>
      </c>
      <c r="AE113" s="4">
        <v>0.15210000038146973</v>
      </c>
      <c r="AF113" s="4">
        <v>7.3899998664855956E-2</v>
      </c>
      <c r="AG113" s="4">
        <v>7.03000020980835E-2</v>
      </c>
      <c r="AH113" s="4">
        <v>9.7000002861022949E-3</v>
      </c>
      <c r="AI113" s="4">
        <v>0</v>
      </c>
      <c r="AJ113" s="4">
        <v>5.7600002288818362E-2</v>
      </c>
      <c r="AK113" s="4">
        <v>5.8800001144409177E-2</v>
      </c>
      <c r="AL113" s="4">
        <v>1.2200000286102295E-2</v>
      </c>
      <c r="AM113" s="4">
        <v>0</v>
      </c>
      <c r="AN113" s="12">
        <v>5.4404670372605324E-3</v>
      </c>
      <c r="AO113" s="13">
        <v>46322</v>
      </c>
    </row>
    <row r="114" spans="1:41" x14ac:dyDescent="0.3">
      <c r="A114" s="3" t="s">
        <v>186</v>
      </c>
      <c r="B114" s="3" t="s">
        <v>68</v>
      </c>
      <c r="C114" s="4">
        <v>0.11779999732971191</v>
      </c>
      <c r="D114" s="4">
        <v>0.10520000457763672</v>
      </c>
      <c r="E114" s="4">
        <v>5.9400000572204591E-2</v>
      </c>
      <c r="F114" s="4">
        <v>0.10109999656677246</v>
      </c>
      <c r="G114" s="5">
        <v>64</v>
      </c>
      <c r="H114" s="5">
        <v>24</v>
      </c>
      <c r="I114" s="5">
        <v>0.11999999731779099</v>
      </c>
      <c r="J114" s="5">
        <v>13.369999885559082</v>
      </c>
      <c r="K114" s="5">
        <v>0.83</v>
      </c>
      <c r="L114" s="6">
        <v>1100</v>
      </c>
      <c r="M114" s="7" t="s">
        <v>187</v>
      </c>
      <c r="N114" s="6">
        <v>2008</v>
      </c>
      <c r="O114" s="3" t="s">
        <v>188</v>
      </c>
      <c r="P114" s="4">
        <v>0.99010002136230468</v>
      </c>
      <c r="Q114" s="4">
        <v>0</v>
      </c>
      <c r="R114" s="8">
        <v>3</v>
      </c>
      <c r="S114" s="5">
        <v>-3.440000057220459</v>
      </c>
      <c r="T114" s="5">
        <v>0.79000002145767212</v>
      </c>
      <c r="U114" s="10">
        <v>61</v>
      </c>
      <c r="V114" s="9">
        <v>78</v>
      </c>
      <c r="W114" s="11">
        <v>-0.13340000152587891</v>
      </c>
      <c r="X114" s="4">
        <v>-9.4899997711181641E-2</v>
      </c>
      <c r="Y114" s="4">
        <v>0.72309997558593753</v>
      </c>
      <c r="Z114" s="4">
        <v>0.14350000381469727</v>
      </c>
      <c r="AA114" s="4">
        <v>0.13340000152587891</v>
      </c>
      <c r="AB114" s="4">
        <v>0</v>
      </c>
      <c r="AC114" s="4">
        <v>0.32240001678466795</v>
      </c>
      <c r="AD114" s="4">
        <v>0.15449999809265136</v>
      </c>
      <c r="AE114" s="4">
        <v>0.11359999656677246</v>
      </c>
      <c r="AF114" s="4">
        <v>0</v>
      </c>
      <c r="AG114" s="4">
        <v>4.4999999999999998E-2</v>
      </c>
      <c r="AH114" s="4">
        <v>3.4300000667572023E-2</v>
      </c>
      <c r="AI114" s="4">
        <v>2.8199999332427977E-2</v>
      </c>
      <c r="AJ114" s="4">
        <v>0.20200000762939452</v>
      </c>
      <c r="AK114" s="4">
        <v>0.1</v>
      </c>
      <c r="AL114" s="4">
        <v>0</v>
      </c>
      <c r="AM114" s="4">
        <v>0</v>
      </c>
      <c r="AN114" s="12">
        <v>1.5882069244980812E-2</v>
      </c>
      <c r="AO114" s="13">
        <v>46322</v>
      </c>
    </row>
    <row r="115" spans="1:41" x14ac:dyDescent="0.3">
      <c r="A115" s="3" t="s">
        <v>357</v>
      </c>
      <c r="B115" s="3" t="s">
        <v>323</v>
      </c>
      <c r="C115" s="4">
        <v>0.13600000381469726</v>
      </c>
      <c r="D115" s="4">
        <v>0.12649999618530272</v>
      </c>
      <c r="E115" s="4">
        <v>5.1100001335144044E-2</v>
      </c>
      <c r="F115" s="4">
        <v>8.7799997329711915E-2</v>
      </c>
      <c r="G115" s="5">
        <v>63</v>
      </c>
      <c r="H115" s="5">
        <v>15.390000343322754</v>
      </c>
      <c r="I115" s="5">
        <v>0.31000000238418579</v>
      </c>
      <c r="J115" s="5">
        <v>13.449999809265137</v>
      </c>
      <c r="K115" s="5">
        <v>0.93</v>
      </c>
      <c r="L115" s="6">
        <v>1500</v>
      </c>
      <c r="M115" s="7" t="s">
        <v>358</v>
      </c>
      <c r="N115" s="6">
        <v>2013</v>
      </c>
      <c r="O115" s="3" t="s">
        <v>359</v>
      </c>
      <c r="P115" s="4">
        <v>0.99360000610351562</v>
      </c>
      <c r="Q115" s="4">
        <v>0</v>
      </c>
      <c r="R115" s="8">
        <v>3</v>
      </c>
      <c r="S115" s="5">
        <v>-4.4000000953674316</v>
      </c>
      <c r="T115" s="5">
        <v>1.0399999618530273</v>
      </c>
      <c r="U115" s="10">
        <v>91</v>
      </c>
      <c r="V115" s="10">
        <v>116</v>
      </c>
      <c r="W115" s="11">
        <v>-0.20809999465942383</v>
      </c>
      <c r="X115" s="4">
        <v>-0.20540000915527343</v>
      </c>
      <c r="Y115" s="4">
        <v>3.950000047683716E-2</v>
      </c>
      <c r="Z115" s="4">
        <v>0.96050003051757815</v>
      </c>
      <c r="AA115" s="4">
        <v>0</v>
      </c>
      <c r="AB115" s="4">
        <v>0</v>
      </c>
      <c r="AC115" s="4">
        <v>0.12729999542236328</v>
      </c>
      <c r="AD115" s="4">
        <v>0.12079999923706054</v>
      </c>
      <c r="AE115" s="4">
        <v>0.21790000915527344</v>
      </c>
      <c r="AF115" s="4">
        <v>1.1399999856948853E-2</v>
      </c>
      <c r="AG115" s="4">
        <v>6.0999999046325686E-2</v>
      </c>
      <c r="AH115" s="4">
        <v>8.8800001144409182E-2</v>
      </c>
      <c r="AI115" s="4">
        <v>4.320000171661377E-2</v>
      </c>
      <c r="AJ115" s="4">
        <v>5.4600000381469727E-2</v>
      </c>
      <c r="AK115" s="4">
        <v>0.21110000610351562</v>
      </c>
      <c r="AL115" s="4">
        <v>1.3899999856948852E-2</v>
      </c>
      <c r="AM115" s="4">
        <v>4.9899997711181643E-2</v>
      </c>
      <c r="AN115" s="12">
        <v>0</v>
      </c>
      <c r="AO115" s="13">
        <v>46322</v>
      </c>
    </row>
    <row r="116" spans="1:41" x14ac:dyDescent="0.3">
      <c r="A116" s="3" t="s">
        <v>300</v>
      </c>
      <c r="B116" s="3" t="s">
        <v>301</v>
      </c>
      <c r="C116" s="4">
        <v>6.6100001335144043E-2</v>
      </c>
      <c r="D116" s="4">
        <v>0.17690000534057618</v>
      </c>
      <c r="E116" s="4">
        <v>0.05</v>
      </c>
      <c r="F116" s="4">
        <v>0.13300000190734862</v>
      </c>
      <c r="G116" s="5">
        <v>81</v>
      </c>
      <c r="H116" s="5">
        <v>24.5</v>
      </c>
      <c r="I116" s="5">
        <v>0.20000000298023224</v>
      </c>
      <c r="J116" s="5">
        <v>19.600000381469727</v>
      </c>
      <c r="K116" s="5">
        <v>0.9</v>
      </c>
      <c r="L116" s="6">
        <v>5900</v>
      </c>
      <c r="M116" s="7" t="s">
        <v>302</v>
      </c>
      <c r="N116" s="6">
        <v>2007</v>
      </c>
      <c r="O116" s="3" t="s">
        <v>303</v>
      </c>
      <c r="P116" s="4">
        <v>0.96290000915527341</v>
      </c>
      <c r="Q116" s="4">
        <v>0</v>
      </c>
      <c r="R116" s="8">
        <v>3</v>
      </c>
      <c r="S116" s="5">
        <v>-5.440000057220459</v>
      </c>
      <c r="T116" s="5">
        <v>0.98000001907348633</v>
      </c>
      <c r="U116" s="10">
        <v>92</v>
      </c>
      <c r="V116" s="10">
        <v>112</v>
      </c>
      <c r="W116" s="11">
        <v>-0.33689998626708983</v>
      </c>
      <c r="X116" s="4">
        <v>-0.28899999618530275</v>
      </c>
      <c r="Y116" s="4">
        <v>0.97540000915527347</v>
      </c>
      <c r="Z116" s="4">
        <v>8.199999928474427E-3</v>
      </c>
      <c r="AA116" s="4">
        <v>1.6499999761581421E-2</v>
      </c>
      <c r="AB116" s="4">
        <v>0</v>
      </c>
      <c r="AC116" s="4">
        <v>0.52220001220703127</v>
      </c>
      <c r="AD116" s="4">
        <v>9.7500000000000003E-2</v>
      </c>
      <c r="AE116" s="4">
        <v>2.0599999427795411E-2</v>
      </c>
      <c r="AF116" s="4">
        <v>0.10829999923706055</v>
      </c>
      <c r="AG116" s="4">
        <v>1.590000033378601E-2</v>
      </c>
      <c r="AH116" s="4">
        <v>7.0999997854232786E-3</v>
      </c>
      <c r="AI116" s="4">
        <v>0</v>
      </c>
      <c r="AJ116" s="4">
        <v>9.4099998474121094E-2</v>
      </c>
      <c r="AK116" s="4">
        <v>0.12350000381469727</v>
      </c>
      <c r="AL116" s="4">
        <v>0</v>
      </c>
      <c r="AM116" s="4">
        <v>1.0900000333786011E-2</v>
      </c>
      <c r="AN116" s="12">
        <v>0</v>
      </c>
      <c r="AO116" s="13">
        <v>46322</v>
      </c>
    </row>
    <row r="117" spans="1:41" x14ac:dyDescent="0.3">
      <c r="A117" s="3" t="s">
        <v>485</v>
      </c>
      <c r="B117" s="3" t="s">
        <v>486</v>
      </c>
      <c r="C117" s="4">
        <v>2.4500000476837158E-2</v>
      </c>
      <c r="D117" s="4">
        <v>4.6900000572204587E-2</v>
      </c>
      <c r="E117" s="4">
        <v>4.9200000762939455E-2</v>
      </c>
      <c r="G117" s="5">
        <v>14</v>
      </c>
      <c r="H117" s="5">
        <v>0</v>
      </c>
      <c r="I117" s="5">
        <v>0</v>
      </c>
      <c r="J117" s="5">
        <v>2.630000114440918</v>
      </c>
      <c r="K117" s="5">
        <v>0.91</v>
      </c>
      <c r="L117" s="6">
        <v>34600</v>
      </c>
      <c r="M117" s="7" t="s">
        <v>487</v>
      </c>
      <c r="N117" s="6">
        <v>2017</v>
      </c>
      <c r="O117" s="3" t="s">
        <v>488</v>
      </c>
      <c r="P117" s="4">
        <v>0</v>
      </c>
      <c r="Q117" s="4">
        <v>0.66040000915527342</v>
      </c>
      <c r="R117" s="8">
        <v>5</v>
      </c>
      <c r="S117" s="5">
        <v>5.2899999618530273</v>
      </c>
      <c r="T117" s="5">
        <v>0.81999999284744263</v>
      </c>
      <c r="U117" s="9">
        <v>123</v>
      </c>
      <c r="V117" s="9">
        <v>62</v>
      </c>
      <c r="W117" s="14">
        <v>-2.4500000476837158E-2</v>
      </c>
      <c r="X117" s="4">
        <v>-0.19260000228881835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12">
        <v>0</v>
      </c>
      <c r="AO117" s="13">
        <v>46322</v>
      </c>
    </row>
    <row r="118" spans="1:41" x14ac:dyDescent="0.3">
      <c r="A118" s="3" t="s">
        <v>475</v>
      </c>
      <c r="B118" s="3" t="s">
        <v>469</v>
      </c>
      <c r="C118" s="4">
        <v>3.1700000762939454E-2</v>
      </c>
      <c r="D118" s="4">
        <v>5.5599999427795407E-2</v>
      </c>
      <c r="E118" s="4">
        <v>4.6100001335144046E-2</v>
      </c>
      <c r="F118" s="4">
        <v>3.2200000286102294E-2</v>
      </c>
      <c r="G118" s="5">
        <v>7</v>
      </c>
      <c r="H118" s="5">
        <v>12.619999885559082</v>
      </c>
      <c r="I118" s="5">
        <v>0.97000002861022949</v>
      </c>
      <c r="J118" s="5">
        <v>2.4500000476837158</v>
      </c>
      <c r="K118" s="5">
        <v>0.62</v>
      </c>
      <c r="L118" s="6">
        <v>556</v>
      </c>
      <c r="M118" s="7" t="s">
        <v>476</v>
      </c>
      <c r="N118" s="6">
        <v>2017</v>
      </c>
      <c r="O118" s="3" t="s">
        <v>477</v>
      </c>
      <c r="P118" s="4">
        <v>0</v>
      </c>
      <c r="Q118" s="4">
        <v>0.35450000762939454</v>
      </c>
      <c r="R118" s="8">
        <v>0</v>
      </c>
      <c r="S118" s="5">
        <v>1.7000000476837158</v>
      </c>
      <c r="T118" s="5">
        <v>0.23000000417232513</v>
      </c>
      <c r="U118" s="10">
        <v>36</v>
      </c>
      <c r="V118" s="9">
        <v>5</v>
      </c>
      <c r="W118" s="14">
        <v>-3.0999999046325683E-2</v>
      </c>
      <c r="X118" s="4">
        <v>-0.14749999999999999</v>
      </c>
      <c r="Y118" s="4">
        <v>0.10329999923706054</v>
      </c>
      <c r="Z118" s="4">
        <v>0.89489997863769533</v>
      </c>
      <c r="AA118" s="4">
        <v>1.7000000178813935E-3</v>
      </c>
      <c r="AB118" s="4">
        <v>1.9999999552965163E-4</v>
      </c>
      <c r="AC118" s="4">
        <v>0.14850000381469727</v>
      </c>
      <c r="AD118" s="4">
        <v>0.11909999847412109</v>
      </c>
      <c r="AE118" s="4">
        <v>0.13060000419616699</v>
      </c>
      <c r="AF118" s="4">
        <v>8.0799999237060549E-2</v>
      </c>
      <c r="AG118" s="4">
        <v>1.4999999999999999E-2</v>
      </c>
      <c r="AH118" s="4">
        <v>0.10579999923706054</v>
      </c>
      <c r="AI118" s="4">
        <v>1.590000033378601E-2</v>
      </c>
      <c r="AJ118" s="4">
        <v>5.6399998664855955E-2</v>
      </c>
      <c r="AK118" s="4">
        <v>0.19510000228881835</v>
      </c>
      <c r="AL118" s="4">
        <v>0</v>
      </c>
      <c r="AM118" s="4">
        <v>0.13289999961853027</v>
      </c>
      <c r="AN118" s="12">
        <v>0</v>
      </c>
      <c r="AO118" s="13">
        <v>46322</v>
      </c>
    </row>
    <row r="119" spans="1:41" x14ac:dyDescent="0.3">
      <c r="A119" s="3" t="s">
        <v>189</v>
      </c>
      <c r="B119" s="3" t="s">
        <v>68</v>
      </c>
      <c r="C119" s="4">
        <v>2.9000000953674318E-2</v>
      </c>
      <c r="D119" s="4">
        <v>0.10449999809265137</v>
      </c>
      <c r="E119" s="4">
        <v>4.5799999237060546E-2</v>
      </c>
      <c r="F119" s="4">
        <v>9.6899995803833003E-2</v>
      </c>
      <c r="G119" s="5">
        <v>63</v>
      </c>
      <c r="H119" s="5">
        <v>23.059999465942383</v>
      </c>
      <c r="I119" s="5">
        <v>9.0000003576278687E-2</v>
      </c>
      <c r="J119" s="5">
        <v>13.430000305175781</v>
      </c>
      <c r="K119" s="5">
        <v>0.98</v>
      </c>
      <c r="L119" s="6">
        <v>513</v>
      </c>
      <c r="M119" s="7" t="s">
        <v>190</v>
      </c>
      <c r="N119" s="6">
        <v>2017</v>
      </c>
      <c r="O119" s="3" t="s">
        <v>191</v>
      </c>
      <c r="P119" s="4">
        <v>0.97349998474121091</v>
      </c>
      <c r="Q119" s="4">
        <v>0</v>
      </c>
      <c r="R119" s="8">
        <v>3</v>
      </c>
      <c r="S119" s="5">
        <v>-4.0300002098083496</v>
      </c>
      <c r="T119" s="5">
        <v>0.80000001192092896</v>
      </c>
      <c r="U119" s="10">
        <v>75</v>
      </c>
      <c r="V119" s="9">
        <v>88</v>
      </c>
      <c r="W119" s="14">
        <v>-0.19489999771118163</v>
      </c>
      <c r="X119" s="4">
        <v>-0.3306999969482422</v>
      </c>
      <c r="Y119" s="4">
        <v>0.64519996643066402</v>
      </c>
      <c r="Z119" s="4">
        <v>0.1656999969482422</v>
      </c>
      <c r="AA119" s="4">
        <v>0.17360000610351561</v>
      </c>
      <c r="AB119" s="4">
        <v>1.5499999523162842E-2</v>
      </c>
      <c r="AC119" s="4">
        <v>0.34540000915527341</v>
      </c>
      <c r="AD119" s="4">
        <v>0.11460000038146972</v>
      </c>
      <c r="AE119" s="4">
        <v>0.14449999809265138</v>
      </c>
      <c r="AF119" s="4">
        <v>6.9899997711181647E-2</v>
      </c>
      <c r="AG119" s="4">
        <v>7.8200001716613773E-2</v>
      </c>
      <c r="AH119" s="4">
        <v>3.1700000762939454E-2</v>
      </c>
      <c r="AI119" s="4">
        <v>0</v>
      </c>
      <c r="AJ119" s="4">
        <v>7.9200000762939454E-2</v>
      </c>
      <c r="AK119" s="4">
        <v>0.13649999618530273</v>
      </c>
      <c r="AL119" s="4">
        <v>0</v>
      </c>
      <c r="AM119" s="4">
        <v>0</v>
      </c>
      <c r="AN119" s="12">
        <v>0</v>
      </c>
      <c r="AO119" s="13">
        <v>46322</v>
      </c>
    </row>
    <row r="120" spans="1:41" x14ac:dyDescent="0.3">
      <c r="A120" s="3" t="s">
        <v>393</v>
      </c>
      <c r="B120" s="3" t="s">
        <v>394</v>
      </c>
      <c r="C120" s="4">
        <v>6.0900001525878905E-2</v>
      </c>
      <c r="D120" s="4">
        <v>0.11510000228881836</v>
      </c>
      <c r="E120" s="4">
        <v>4.4600000381469725E-2</v>
      </c>
      <c r="F120" s="4">
        <v>0.1</v>
      </c>
      <c r="G120" s="5">
        <v>65</v>
      </c>
      <c r="H120" s="5">
        <v>20.430000305175781</v>
      </c>
      <c r="I120" s="5">
        <v>5.000000074505806E-2</v>
      </c>
      <c r="J120" s="5">
        <v>16.430000305175781</v>
      </c>
      <c r="K120" s="5">
        <v>1.1100000000000001</v>
      </c>
      <c r="L120" s="6">
        <v>2700</v>
      </c>
      <c r="M120" s="7" t="s">
        <v>395</v>
      </c>
      <c r="N120" s="6">
        <v>2019</v>
      </c>
      <c r="O120" s="3" t="s">
        <v>396</v>
      </c>
      <c r="P120" s="4">
        <v>0.97349998474121091</v>
      </c>
      <c r="Q120" s="4">
        <v>0</v>
      </c>
      <c r="R120" s="8">
        <v>4</v>
      </c>
      <c r="S120" s="5">
        <v>-0.60000002384185791</v>
      </c>
      <c r="T120" s="5">
        <v>1.0199999809265137</v>
      </c>
      <c r="U120" s="9">
        <v>103</v>
      </c>
      <c r="V120" s="10">
        <v>106</v>
      </c>
      <c r="W120" s="14">
        <v>-0.21229999542236327</v>
      </c>
      <c r="X120" s="4">
        <v>-0.3096999931335449</v>
      </c>
      <c r="Y120" s="4">
        <v>0.63810001373291014</v>
      </c>
      <c r="Z120" s="4">
        <v>0.29530000686645508</v>
      </c>
      <c r="AA120" s="4">
        <v>4.6999998092651367E-2</v>
      </c>
      <c r="AB120" s="4">
        <v>1.9600000381469727E-2</v>
      </c>
      <c r="AC120" s="4">
        <v>4.1999998092651369E-2</v>
      </c>
      <c r="AD120" s="4">
        <v>1.5099999904632568E-2</v>
      </c>
      <c r="AE120" s="4">
        <v>0</v>
      </c>
      <c r="AF120" s="4">
        <v>0</v>
      </c>
      <c r="AG120" s="4">
        <v>0.15619999885559083</v>
      </c>
      <c r="AH120" s="4">
        <v>0</v>
      </c>
      <c r="AI120" s="4">
        <v>0</v>
      </c>
      <c r="AJ120" s="4">
        <v>0</v>
      </c>
      <c r="AK120" s="4">
        <v>0.65339996337890627</v>
      </c>
      <c r="AL120" s="4">
        <v>0</v>
      </c>
      <c r="AM120" s="4">
        <v>0.13329999923706054</v>
      </c>
      <c r="AN120" s="12">
        <v>4.2940047569572926E-3</v>
      </c>
      <c r="AO120" s="13">
        <v>46322</v>
      </c>
    </row>
    <row r="121" spans="1:41" x14ac:dyDescent="0.3">
      <c r="A121" s="3" t="s">
        <v>489</v>
      </c>
      <c r="B121" s="3" t="s">
        <v>490</v>
      </c>
      <c r="C121" s="4">
        <v>1.190000057220459E-2</v>
      </c>
      <c r="D121" s="4">
        <v>7.0700001716613767E-2</v>
      </c>
      <c r="E121" s="4">
        <v>4.1399998664855955E-2</v>
      </c>
      <c r="F121" s="4">
        <v>3.6800000667572025E-2</v>
      </c>
      <c r="G121" s="5">
        <v>13</v>
      </c>
      <c r="H121" s="5">
        <v>0</v>
      </c>
      <c r="I121" s="5">
        <v>0.62000000476837158</v>
      </c>
      <c r="J121" s="5">
        <v>3.880000114440918</v>
      </c>
      <c r="K121" s="5">
        <v>1.24</v>
      </c>
      <c r="L121" s="6">
        <v>248</v>
      </c>
      <c r="M121" s="7" t="s">
        <v>491</v>
      </c>
      <c r="N121" s="6">
        <v>2013</v>
      </c>
      <c r="O121" s="3" t="s">
        <v>492</v>
      </c>
      <c r="P121" s="4">
        <v>0</v>
      </c>
      <c r="Q121" s="4">
        <v>0.85379997253417972</v>
      </c>
      <c r="R121" s="8">
        <v>5</v>
      </c>
      <c r="S121" s="5">
        <v>4.059999942779541</v>
      </c>
      <c r="T121" s="5">
        <v>0.43999999761581421</v>
      </c>
      <c r="U121" s="10">
        <v>78</v>
      </c>
      <c r="V121" s="9">
        <v>5</v>
      </c>
      <c r="W121" s="14">
        <v>-6.8499999046325685E-2</v>
      </c>
      <c r="X121" s="4">
        <v>-0.1377999973297119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12">
        <v>0</v>
      </c>
      <c r="AO121" s="13">
        <v>46322</v>
      </c>
    </row>
    <row r="122" spans="1:41" x14ac:dyDescent="0.3">
      <c r="A122" s="3" t="s">
        <v>192</v>
      </c>
      <c r="B122" s="3" t="s">
        <v>58</v>
      </c>
      <c r="C122" s="4">
        <v>9.5500001907348628E-2</v>
      </c>
      <c r="D122" s="4">
        <v>0.11090000152587891</v>
      </c>
      <c r="E122" s="4">
        <v>4.0799999237060548E-2</v>
      </c>
      <c r="F122" s="4">
        <v>8.4399995803833006E-2</v>
      </c>
      <c r="G122" s="5">
        <v>63</v>
      </c>
      <c r="H122" s="5">
        <v>16.969999313354492</v>
      </c>
      <c r="I122" s="5">
        <v>3.9999999105930328E-2</v>
      </c>
      <c r="J122" s="5">
        <v>13.439999580383301</v>
      </c>
      <c r="K122" s="5">
        <v>0.93</v>
      </c>
      <c r="L122" s="6">
        <v>1600</v>
      </c>
      <c r="M122" s="7" t="s">
        <v>193</v>
      </c>
      <c r="N122" s="6">
        <v>2009</v>
      </c>
      <c r="O122" s="3" t="s">
        <v>194</v>
      </c>
      <c r="P122" s="4">
        <v>0.99330001831054693</v>
      </c>
      <c r="Q122" s="4">
        <v>0</v>
      </c>
      <c r="R122" s="8">
        <v>2</v>
      </c>
      <c r="S122" s="5">
        <v>-7.1100001335144043</v>
      </c>
      <c r="T122" s="5">
        <v>1.0299999713897705</v>
      </c>
      <c r="U122" s="10">
        <v>91</v>
      </c>
      <c r="V122" s="10">
        <v>128</v>
      </c>
      <c r="W122" s="14">
        <v>-0.16079999923706054</v>
      </c>
      <c r="X122" s="4">
        <v>-0.27229999542236327</v>
      </c>
      <c r="Y122" s="4">
        <v>0.63889999389648433</v>
      </c>
      <c r="Z122" s="4">
        <v>0.29299999237060548</v>
      </c>
      <c r="AA122" s="4">
        <v>5.7399997711181643E-2</v>
      </c>
      <c r="AB122" s="4">
        <v>1.0800000429153443E-2</v>
      </c>
      <c r="AC122" s="4">
        <v>0.2578000068664551</v>
      </c>
      <c r="AD122" s="4">
        <v>0.14270000457763671</v>
      </c>
      <c r="AE122" s="4">
        <v>0.19090000152587891</v>
      </c>
      <c r="AF122" s="4">
        <v>4.650000095367432E-2</v>
      </c>
      <c r="AG122" s="4">
        <v>8.8599996566772463E-2</v>
      </c>
      <c r="AH122" s="4">
        <v>3.9200000762939453E-2</v>
      </c>
      <c r="AI122" s="4">
        <v>1.9800000190734864E-2</v>
      </c>
      <c r="AJ122" s="4">
        <v>6.5300002098083496E-2</v>
      </c>
      <c r="AK122" s="4">
        <v>0.14210000038146972</v>
      </c>
      <c r="AL122" s="4">
        <v>6.9999998807907101E-3</v>
      </c>
      <c r="AM122" s="4">
        <v>0</v>
      </c>
      <c r="AN122" s="12">
        <v>0</v>
      </c>
      <c r="AO122" s="13">
        <v>46322</v>
      </c>
    </row>
    <row r="123" spans="1:41" x14ac:dyDescent="0.3">
      <c r="A123" s="3" t="s">
        <v>304</v>
      </c>
      <c r="B123" s="3" t="s">
        <v>269</v>
      </c>
      <c r="C123" s="4">
        <v>2.700000047683716E-2</v>
      </c>
      <c r="D123" s="4">
        <v>0.1915999984741211</v>
      </c>
      <c r="E123" s="4">
        <v>4.0500001907348634E-2</v>
      </c>
      <c r="G123" s="5">
        <v>89</v>
      </c>
      <c r="H123" s="5">
        <v>30.600000381469727</v>
      </c>
      <c r="I123" s="5">
        <v>-0.10000000149011612</v>
      </c>
      <c r="J123" s="5">
        <v>29.209999084472656</v>
      </c>
      <c r="K123" s="5">
        <v>0.65</v>
      </c>
      <c r="L123" s="6">
        <v>112</v>
      </c>
      <c r="M123" s="7" t="s">
        <v>305</v>
      </c>
      <c r="N123" s="6">
        <v>2014</v>
      </c>
      <c r="O123" s="3" t="s">
        <v>306</v>
      </c>
      <c r="P123" s="4">
        <v>0.98510002136230468</v>
      </c>
      <c r="Q123" s="4">
        <v>0</v>
      </c>
      <c r="R123" s="8">
        <v>1</v>
      </c>
      <c r="S123" s="5">
        <v>-14.710000038146973</v>
      </c>
      <c r="T123" s="5">
        <v>1.2100000381469727</v>
      </c>
      <c r="U123" s="9">
        <v>109</v>
      </c>
      <c r="V123" s="10">
        <v>160</v>
      </c>
      <c r="W123" s="11">
        <v>-0.27280000686645506</v>
      </c>
      <c r="X123" s="4">
        <v>-0.11119999885559081</v>
      </c>
      <c r="Y123" s="4">
        <v>1</v>
      </c>
      <c r="Z123" s="4">
        <v>0</v>
      </c>
      <c r="AA123" s="4">
        <v>0</v>
      </c>
      <c r="AB123" s="4">
        <v>0</v>
      </c>
      <c r="AC123" s="4">
        <v>0.34080001831054685</v>
      </c>
      <c r="AD123" s="4">
        <v>0.15520000457763672</v>
      </c>
      <c r="AE123" s="4">
        <v>6.0300002098083498E-2</v>
      </c>
      <c r="AF123" s="4">
        <v>0.11609999656677246</v>
      </c>
      <c r="AG123" s="4">
        <v>9.8000001907348634E-3</v>
      </c>
      <c r="AH123" s="4">
        <v>2.8999999165534975E-3</v>
      </c>
      <c r="AI123" s="4">
        <v>0</v>
      </c>
      <c r="AJ123" s="4">
        <v>0.23129999160766601</v>
      </c>
      <c r="AK123" s="4">
        <v>6.5399999618530269E-2</v>
      </c>
      <c r="AL123" s="4">
        <v>1.8200000524520876E-2</v>
      </c>
      <c r="AM123" s="4">
        <v>0</v>
      </c>
      <c r="AN123" s="12">
        <v>0</v>
      </c>
      <c r="AO123" s="13">
        <v>46322</v>
      </c>
    </row>
    <row r="124" spans="1:41" x14ac:dyDescent="0.3">
      <c r="A124" s="3" t="s">
        <v>519</v>
      </c>
      <c r="B124" s="3" t="s">
        <v>510</v>
      </c>
      <c r="C124" s="4">
        <v>4.0900001525878908E-2</v>
      </c>
      <c r="D124" s="4">
        <v>5.1100001335144044E-2</v>
      </c>
      <c r="E124" s="4">
        <v>3.8599998950958253E-2</v>
      </c>
      <c r="G124" s="5">
        <v>4</v>
      </c>
      <c r="H124" s="5">
        <v>15.470000267028809</v>
      </c>
      <c r="I124" s="5">
        <v>-7.9999998211860657E-2</v>
      </c>
      <c r="J124" s="5">
        <v>1.7300000190734863</v>
      </c>
      <c r="K124" s="5">
        <v>1.4</v>
      </c>
      <c r="L124" s="6">
        <v>1800</v>
      </c>
      <c r="M124" s="7" t="s">
        <v>520</v>
      </c>
      <c r="N124" s="6">
        <v>2013</v>
      </c>
      <c r="O124" s="3" t="s">
        <v>521</v>
      </c>
      <c r="P124" s="4">
        <v>0.55069999694824223</v>
      </c>
      <c r="Q124" s="4">
        <v>0.10470000267028809</v>
      </c>
      <c r="R124" s="8">
        <v>0</v>
      </c>
      <c r="S124" s="5">
        <v>0</v>
      </c>
      <c r="T124" s="5">
        <v>0</v>
      </c>
      <c r="U124" s="10">
        <v>0</v>
      </c>
      <c r="V124" s="9">
        <v>0</v>
      </c>
      <c r="W124" s="4">
        <v>-4.3000000715255737E-3</v>
      </c>
      <c r="X124" s="4">
        <v>0</v>
      </c>
      <c r="Y124" s="4">
        <v>0.30610000610351562</v>
      </c>
      <c r="Z124" s="4">
        <v>0.57659999847412113</v>
      </c>
      <c r="AA124" s="4">
        <v>7.2300000190734862E-2</v>
      </c>
      <c r="AB124" s="4">
        <v>4.5100002288818358E-2</v>
      </c>
      <c r="AC124" s="4">
        <v>0.29729999542236329</v>
      </c>
      <c r="AD124" s="4">
        <v>3.0899999141693116E-2</v>
      </c>
      <c r="AE124" s="4">
        <v>0.19979999542236329</v>
      </c>
      <c r="AF124" s="4">
        <v>8.7100000381469728E-2</v>
      </c>
      <c r="AG124" s="4">
        <v>8.7999999523162842E-3</v>
      </c>
      <c r="AH124" s="4">
        <v>5.6999999284744265E-3</v>
      </c>
      <c r="AI124" s="4">
        <v>9.9999997764825814E-5</v>
      </c>
      <c r="AJ124" s="4">
        <v>0.16979999542236329</v>
      </c>
      <c r="AK124" s="4">
        <v>0.17879999160766602</v>
      </c>
      <c r="AL124" s="4">
        <v>1.9700000286102293E-2</v>
      </c>
      <c r="AM124" s="4">
        <v>1.899999976158142E-3</v>
      </c>
      <c r="AN124" s="12">
        <v>0</v>
      </c>
      <c r="AO124" s="13">
        <v>46322</v>
      </c>
    </row>
    <row r="125" spans="1:41" x14ac:dyDescent="0.3">
      <c r="A125" s="3" t="s">
        <v>195</v>
      </c>
      <c r="B125" s="3" t="s">
        <v>68</v>
      </c>
      <c r="C125" s="4">
        <v>9.0399999618530277E-2</v>
      </c>
      <c r="D125" s="4">
        <v>9.1899995803833012E-2</v>
      </c>
      <c r="E125" s="4">
        <v>3.7599999904632565E-2</v>
      </c>
      <c r="F125" s="15">
        <v>9.9799995422363286E-2</v>
      </c>
      <c r="G125" s="5">
        <v>64</v>
      </c>
      <c r="H125" s="5">
        <v>21.940000534057617</v>
      </c>
      <c r="I125" s="5">
        <v>3.9999999105930328E-2</v>
      </c>
      <c r="J125" s="5">
        <v>15.020000457763672</v>
      </c>
      <c r="K125" s="5">
        <v>1.52</v>
      </c>
      <c r="L125" s="6">
        <v>469</v>
      </c>
      <c r="M125" s="7" t="s">
        <v>196</v>
      </c>
      <c r="N125" s="6">
        <v>2013</v>
      </c>
      <c r="O125" s="3" t="s">
        <v>197</v>
      </c>
      <c r="P125" s="4">
        <v>0.97709999084472654</v>
      </c>
      <c r="Q125" s="4">
        <v>0</v>
      </c>
      <c r="R125" s="8">
        <v>3</v>
      </c>
      <c r="S125" s="5">
        <v>-5.1700000762939453</v>
      </c>
      <c r="T125" s="5">
        <v>0.87000000476837158</v>
      </c>
      <c r="U125" s="10">
        <v>76</v>
      </c>
      <c r="V125" s="9">
        <v>93</v>
      </c>
      <c r="W125" s="14">
        <v>-0.19950000762939454</v>
      </c>
      <c r="X125" s="4">
        <v>-0.3306999969482422</v>
      </c>
      <c r="Y125" s="4">
        <v>0.74300003051757813</v>
      </c>
      <c r="Z125" s="4">
        <v>0.20479999542236327</v>
      </c>
      <c r="AA125" s="4">
        <v>5.2199997901916505E-2</v>
      </c>
      <c r="AB125" s="4">
        <v>0</v>
      </c>
      <c r="AC125" s="4">
        <v>0.32909999847412108</v>
      </c>
      <c r="AD125" s="4">
        <v>0.10880000114440919</v>
      </c>
      <c r="AE125" s="4">
        <v>0.18299999237060546</v>
      </c>
      <c r="AF125" s="4">
        <v>6.8299999237060552E-2</v>
      </c>
      <c r="AG125" s="4">
        <v>6.6100001335144043E-2</v>
      </c>
      <c r="AH125" s="4">
        <v>5.059999942779541E-2</v>
      </c>
      <c r="AI125" s="4">
        <v>0</v>
      </c>
      <c r="AJ125" s="4">
        <v>8.9300003051757809E-2</v>
      </c>
      <c r="AK125" s="4">
        <v>0.10489999771118164</v>
      </c>
      <c r="AL125" s="4">
        <v>0</v>
      </c>
      <c r="AM125" s="4">
        <v>0</v>
      </c>
      <c r="AN125" s="12">
        <v>0</v>
      </c>
      <c r="AO125" s="13">
        <v>46322</v>
      </c>
    </row>
    <row r="126" spans="1:41" x14ac:dyDescent="0.3">
      <c r="A126" s="3" t="s">
        <v>307</v>
      </c>
      <c r="B126" s="3" t="s">
        <v>269</v>
      </c>
      <c r="C126" s="4">
        <v>0.11289999961853027</v>
      </c>
      <c r="D126" s="4">
        <v>0.30090000152587892</v>
      </c>
      <c r="E126" s="4">
        <v>3.4800000190734863E-2</v>
      </c>
      <c r="F126" s="4">
        <v>0.14170000076293945</v>
      </c>
      <c r="G126" s="5">
        <v>100</v>
      </c>
      <c r="H126" s="5">
        <v>31.079999923706055</v>
      </c>
      <c r="I126" s="5">
        <v>0</v>
      </c>
      <c r="J126" s="5">
        <v>33.900001525878906</v>
      </c>
      <c r="K126" s="5">
        <v>0.89</v>
      </c>
      <c r="L126" s="6">
        <v>2400</v>
      </c>
      <c r="M126" s="7" t="s">
        <v>308</v>
      </c>
      <c r="N126" s="6">
        <v>1993</v>
      </c>
      <c r="O126" s="3" t="s">
        <v>309</v>
      </c>
      <c r="P126" s="4">
        <v>0.96690002441406253</v>
      </c>
      <c r="Q126" s="4">
        <v>6.7000001668930057E-3</v>
      </c>
      <c r="R126" s="8">
        <v>1</v>
      </c>
      <c r="S126" s="5">
        <v>-13</v>
      </c>
      <c r="T126" s="5">
        <v>1.2899999618530273</v>
      </c>
      <c r="U126" s="9">
        <v>101</v>
      </c>
      <c r="V126" s="10">
        <v>162</v>
      </c>
      <c r="W126" s="11">
        <v>-0.65190002441406247</v>
      </c>
      <c r="X126" s="4">
        <v>-0.28899999618530275</v>
      </c>
      <c r="Y126" s="4">
        <v>0.93419998168945317</v>
      </c>
      <c r="Z126" s="4">
        <v>4.650000095367432E-2</v>
      </c>
      <c r="AA126" s="4">
        <v>0</v>
      </c>
      <c r="AB126" s="4">
        <v>1.9299999475479127E-2</v>
      </c>
      <c r="AC126" s="4">
        <v>0.2919000053405762</v>
      </c>
      <c r="AD126" s="4">
        <v>0.20049999237060548</v>
      </c>
      <c r="AE126" s="4">
        <v>0.11869999885559082</v>
      </c>
      <c r="AF126" s="4">
        <v>8.1199998855590816E-2</v>
      </c>
      <c r="AG126" s="4">
        <v>0</v>
      </c>
      <c r="AH126" s="4">
        <v>0</v>
      </c>
      <c r="AI126" s="4">
        <v>0</v>
      </c>
      <c r="AJ126" s="4">
        <v>0.19469999313354491</v>
      </c>
      <c r="AK126" s="4">
        <v>0.10079999923706055</v>
      </c>
      <c r="AL126" s="4">
        <v>1.2400000095367432E-2</v>
      </c>
      <c r="AM126" s="4">
        <v>0</v>
      </c>
      <c r="AN126" s="12">
        <v>0</v>
      </c>
      <c r="AO126" s="13">
        <v>46322</v>
      </c>
    </row>
    <row r="127" spans="1:41" x14ac:dyDescent="0.3">
      <c r="A127" s="3" t="s">
        <v>198</v>
      </c>
      <c r="B127" s="3" t="s">
        <v>58</v>
      </c>
      <c r="C127" s="4">
        <v>9.2200002670288092E-2</v>
      </c>
      <c r="D127" s="4">
        <v>5.5E-2</v>
      </c>
      <c r="E127" s="4">
        <v>3.3099999427795408E-2</v>
      </c>
      <c r="F127" s="4">
        <v>9.8500003814697271E-2</v>
      </c>
      <c r="G127" s="5">
        <v>61</v>
      </c>
      <c r="H127" s="5">
        <v>19.799999237060547</v>
      </c>
      <c r="I127" s="5">
        <v>-0.14000000059604645</v>
      </c>
      <c r="J127" s="5">
        <v>12.640000343322754</v>
      </c>
      <c r="K127" s="5">
        <v>0.89</v>
      </c>
      <c r="L127" s="6">
        <v>1400</v>
      </c>
      <c r="M127" s="7" t="s">
        <v>199</v>
      </c>
      <c r="N127" s="6">
        <v>2014</v>
      </c>
      <c r="O127" s="3" t="s">
        <v>200</v>
      </c>
      <c r="P127" s="4">
        <v>0.9893000030517578</v>
      </c>
      <c r="Q127" s="4">
        <v>0</v>
      </c>
      <c r="R127" s="8">
        <v>2</v>
      </c>
      <c r="S127" s="5">
        <v>-6.440000057220459</v>
      </c>
      <c r="T127" s="5">
        <v>0.62999999523162842</v>
      </c>
      <c r="U127" s="10">
        <v>53</v>
      </c>
      <c r="V127" s="9">
        <v>72</v>
      </c>
      <c r="W127" s="14">
        <v>-0.23729999542236327</v>
      </c>
      <c r="X127" s="4">
        <v>-0.3306999969482422</v>
      </c>
      <c r="Y127" s="4">
        <v>0.52900001525878904</v>
      </c>
      <c r="Z127" s="4">
        <v>0.36830001831054687</v>
      </c>
      <c r="AA127" s="4">
        <v>3.5499999523162844E-2</v>
      </c>
      <c r="AB127" s="4">
        <v>6.7300000190734857E-2</v>
      </c>
      <c r="AC127" s="4">
        <v>0.20409999847412108</v>
      </c>
      <c r="AD127" s="4">
        <v>0.15149999618530274</v>
      </c>
      <c r="AE127" s="4">
        <v>0.16639999389648438</v>
      </c>
      <c r="AF127" s="4">
        <v>0</v>
      </c>
      <c r="AG127" s="4">
        <v>5.4099998474121093E-2</v>
      </c>
      <c r="AH127" s="4">
        <v>0.18430000305175781</v>
      </c>
      <c r="AI127" s="4">
        <v>0</v>
      </c>
      <c r="AJ127" s="4">
        <v>0.13750000000000001</v>
      </c>
      <c r="AK127" s="4">
        <v>0.10220000267028809</v>
      </c>
      <c r="AL127" s="4">
        <v>0</v>
      </c>
      <c r="AM127" s="4">
        <v>0</v>
      </c>
      <c r="AN127" s="12">
        <v>0</v>
      </c>
      <c r="AO127" s="13">
        <v>46322</v>
      </c>
    </row>
    <row r="128" spans="1:41" x14ac:dyDescent="0.3">
      <c r="A128" s="3" t="s">
        <v>478</v>
      </c>
      <c r="B128" s="3" t="s">
        <v>119</v>
      </c>
      <c r="C128" s="4">
        <v>1.990000009536743E-2</v>
      </c>
      <c r="D128" s="4">
        <v>8.1000003814697269E-2</v>
      </c>
      <c r="E128" s="4">
        <v>3.2699999809265134E-2</v>
      </c>
      <c r="F128" s="4">
        <v>5.7899999618530276E-2</v>
      </c>
      <c r="G128" s="5">
        <v>43</v>
      </c>
      <c r="H128" s="5">
        <v>17.930000305175781</v>
      </c>
      <c r="I128" s="5">
        <v>0.60000002384185791</v>
      </c>
      <c r="J128" s="5">
        <v>7.2899999618530273</v>
      </c>
      <c r="K128" s="5">
        <v>0.91</v>
      </c>
      <c r="L128" s="6">
        <v>78</v>
      </c>
      <c r="M128" s="7" t="s">
        <v>479</v>
      </c>
      <c r="N128" s="6">
        <v>2020</v>
      </c>
      <c r="O128" s="3" t="s">
        <v>480</v>
      </c>
      <c r="P128" s="4">
        <v>0.29379999160766601</v>
      </c>
      <c r="Q128" s="4">
        <v>0.78970001220703123</v>
      </c>
      <c r="R128" s="8">
        <v>4</v>
      </c>
      <c r="S128" s="5">
        <v>-2.3399999141693115</v>
      </c>
      <c r="T128" s="5">
        <v>0.95999997854232788</v>
      </c>
      <c r="U128" s="10">
        <v>84</v>
      </c>
      <c r="V128" s="10">
        <v>109</v>
      </c>
      <c r="W128" s="11">
        <v>-5.8899998664855957E-2</v>
      </c>
      <c r="X128" s="4">
        <v>-5.0300002098083496E-2</v>
      </c>
      <c r="Y128" s="4">
        <v>0.80199996948242191</v>
      </c>
      <c r="Z128" s="4">
        <v>0.19729999542236329</v>
      </c>
      <c r="AA128" s="4">
        <v>0</v>
      </c>
      <c r="AB128" s="4">
        <v>7.0000000298023226E-4</v>
      </c>
      <c r="AC128" s="4">
        <v>0.22399999618530272</v>
      </c>
      <c r="AD128" s="4">
        <v>0.11569999694824219</v>
      </c>
      <c r="AE128" s="4">
        <v>0.18520000457763672</v>
      </c>
      <c r="AF128" s="4">
        <v>4.5300002098083499E-2</v>
      </c>
      <c r="AG128" s="4">
        <v>7.0999997854232786E-3</v>
      </c>
      <c r="AH128" s="4">
        <v>1.9700000286102293E-2</v>
      </c>
      <c r="AI128" s="4">
        <v>1.5499999523162842E-2</v>
      </c>
      <c r="AJ128" s="4">
        <v>0.10079999923706055</v>
      </c>
      <c r="AK128" s="4">
        <v>0.27040000915527346</v>
      </c>
      <c r="AL128" s="4">
        <v>7.6999998092651366E-3</v>
      </c>
      <c r="AM128" s="4">
        <v>8.5000002384185789E-3</v>
      </c>
      <c r="AN128" s="12">
        <v>0</v>
      </c>
      <c r="AO128" s="13">
        <v>46322</v>
      </c>
    </row>
    <row r="129" spans="1:41" x14ac:dyDescent="0.3">
      <c r="A129" s="3" t="s">
        <v>360</v>
      </c>
      <c r="B129" s="3" t="s">
        <v>361</v>
      </c>
      <c r="C129" s="4">
        <v>5.4299998283386233E-2</v>
      </c>
      <c r="D129" s="4">
        <v>0.12350000381469727</v>
      </c>
      <c r="E129" s="4">
        <v>3.1900000572204587E-2</v>
      </c>
      <c r="F129" s="4">
        <v>0.10489999771118164</v>
      </c>
      <c r="G129" s="5">
        <v>70</v>
      </c>
      <c r="H129" s="5">
        <v>15.819999694824219</v>
      </c>
      <c r="I129" s="5">
        <v>0.27000001072883606</v>
      </c>
      <c r="J129" s="5">
        <v>17.319999694824219</v>
      </c>
      <c r="K129" s="5">
        <v>1.06</v>
      </c>
      <c r="L129" s="6">
        <v>4600</v>
      </c>
      <c r="M129" s="7" t="s">
        <v>362</v>
      </c>
      <c r="N129" s="6">
        <v>2019</v>
      </c>
      <c r="O129" s="3" t="s">
        <v>363</v>
      </c>
      <c r="P129" s="4">
        <v>0.92430000305175786</v>
      </c>
      <c r="Q129" s="4">
        <v>5.6000000238418581E-3</v>
      </c>
      <c r="R129" s="8">
        <v>3</v>
      </c>
      <c r="S129" s="5">
        <v>-4.059999942779541</v>
      </c>
      <c r="T129" s="5">
        <v>1.1299999952316284</v>
      </c>
      <c r="U129" s="10">
        <v>94</v>
      </c>
      <c r="V129" s="10">
        <v>105</v>
      </c>
      <c r="W129" s="11">
        <v>-9.0500001907348637E-2</v>
      </c>
      <c r="X129" s="4">
        <v>-8.7700004577636714E-2</v>
      </c>
      <c r="Y129" s="4">
        <v>1.7799999713897705E-2</v>
      </c>
      <c r="Z129" s="4">
        <v>0.98220001220703124</v>
      </c>
      <c r="AA129" s="4">
        <v>0</v>
      </c>
      <c r="AB129" s="4">
        <v>0</v>
      </c>
      <c r="AC129" s="4">
        <v>0.17399999618530274</v>
      </c>
      <c r="AD129" s="4">
        <v>8.3299999237060551E-2</v>
      </c>
      <c r="AE129" s="4">
        <v>0.29850000381469727</v>
      </c>
      <c r="AF129" s="4">
        <v>0</v>
      </c>
      <c r="AG129" s="4">
        <v>4.8699998855590822E-2</v>
      </c>
      <c r="AH129" s="4">
        <v>0</v>
      </c>
      <c r="AI129" s="4">
        <v>1.1499999761581422E-2</v>
      </c>
      <c r="AJ129" s="4">
        <v>1.1299999952316285E-2</v>
      </c>
      <c r="AK129" s="4">
        <v>0.34599998474121096</v>
      </c>
      <c r="AL129" s="4">
        <v>0</v>
      </c>
      <c r="AM129" s="4">
        <v>2.6700000762939453E-2</v>
      </c>
      <c r="AN129" s="12">
        <v>0</v>
      </c>
      <c r="AO129" s="13">
        <v>46322</v>
      </c>
    </row>
    <row r="130" spans="1:41" x14ac:dyDescent="0.3">
      <c r="A130" s="3" t="s">
        <v>201</v>
      </c>
      <c r="B130" s="3" t="s">
        <v>58</v>
      </c>
      <c r="C130" s="4">
        <v>6.0700001716613772E-2</v>
      </c>
      <c r="D130" s="4">
        <v>7.7800002098083493E-2</v>
      </c>
      <c r="E130" s="4">
        <v>3.1500000953674313E-2</v>
      </c>
      <c r="F130" s="4">
        <v>9.6999998092651363E-2</v>
      </c>
      <c r="G130" s="5">
        <v>63</v>
      </c>
      <c r="H130" s="5">
        <v>21.420000076293945</v>
      </c>
      <c r="I130" s="5">
        <v>-0.10999999940395355</v>
      </c>
      <c r="J130" s="5">
        <v>13.159999847412109</v>
      </c>
      <c r="K130" s="5">
        <v>1.08</v>
      </c>
      <c r="L130" s="6">
        <v>4500</v>
      </c>
      <c r="M130" s="7" t="s">
        <v>202</v>
      </c>
      <c r="N130" s="6">
        <v>2011</v>
      </c>
      <c r="O130" s="3" t="s">
        <v>203</v>
      </c>
      <c r="P130" s="4">
        <v>1</v>
      </c>
      <c r="Q130" s="4">
        <v>0</v>
      </c>
      <c r="R130" s="8">
        <v>2</v>
      </c>
      <c r="S130" s="5">
        <v>-6.3299999237060547</v>
      </c>
      <c r="T130" s="5">
        <v>0.69999998807907104</v>
      </c>
      <c r="U130" s="10">
        <v>61</v>
      </c>
      <c r="V130" s="9">
        <v>82</v>
      </c>
      <c r="W130" s="14">
        <v>-0.19110000610351563</v>
      </c>
      <c r="X130" s="4">
        <v>-0.3306999969482422</v>
      </c>
      <c r="Y130" s="4">
        <v>0.79580001831054692</v>
      </c>
      <c r="Z130" s="4">
        <v>0.16860000610351564</v>
      </c>
      <c r="AA130" s="4">
        <v>3.559999942779541E-2</v>
      </c>
      <c r="AB130" s="4">
        <v>0</v>
      </c>
      <c r="AC130" s="4">
        <v>0.32240001678466795</v>
      </c>
      <c r="AD130" s="4">
        <v>0.17889999389648437</v>
      </c>
      <c r="AE130" s="4">
        <v>0.11090000152587891</v>
      </c>
      <c r="AF130" s="4">
        <v>9.8400001525878911E-2</v>
      </c>
      <c r="AG130" s="4">
        <v>0</v>
      </c>
      <c r="AH130" s="4">
        <v>0.15170000076293946</v>
      </c>
      <c r="AI130" s="4">
        <v>0</v>
      </c>
      <c r="AJ130" s="4">
        <v>9.5200004577636721E-2</v>
      </c>
      <c r="AK130" s="4">
        <v>4.2399997711181643E-2</v>
      </c>
      <c r="AL130" s="4">
        <v>0</v>
      </c>
      <c r="AM130" s="4">
        <v>0</v>
      </c>
      <c r="AN130" s="12">
        <v>2.0454792305827141E-2</v>
      </c>
      <c r="AO130" s="13">
        <v>46322</v>
      </c>
    </row>
    <row r="131" spans="1:41" x14ac:dyDescent="0.3">
      <c r="A131" s="3" t="s">
        <v>493</v>
      </c>
      <c r="B131" s="3" t="s">
        <v>494</v>
      </c>
      <c r="C131" s="4">
        <v>2.9999999329447744E-4</v>
      </c>
      <c r="D131" s="4">
        <v>7.6900000572204585E-2</v>
      </c>
      <c r="E131" s="4">
        <v>2.9900000095367432E-2</v>
      </c>
      <c r="G131" s="5">
        <v>17</v>
      </c>
      <c r="H131" s="5">
        <v>0</v>
      </c>
      <c r="I131" s="5">
        <v>0.23000000417232513</v>
      </c>
      <c r="J131" s="5">
        <v>5.6700000762939453</v>
      </c>
      <c r="K131" s="5">
        <v>1.57</v>
      </c>
      <c r="L131" s="6">
        <v>5200</v>
      </c>
      <c r="M131" s="7" t="s">
        <v>495</v>
      </c>
      <c r="N131" s="6">
        <v>2019</v>
      </c>
      <c r="O131" s="3" t="s">
        <v>496</v>
      </c>
      <c r="P131" s="4">
        <v>0</v>
      </c>
      <c r="Q131" s="4">
        <v>0.9366000366210937</v>
      </c>
      <c r="R131" s="8">
        <v>5</v>
      </c>
      <c r="S131" s="5">
        <v>1.25</v>
      </c>
      <c r="T131" s="5">
        <v>0.69999998807907104</v>
      </c>
      <c r="U131" s="10">
        <v>83</v>
      </c>
      <c r="V131" s="9">
        <v>62</v>
      </c>
      <c r="W131" s="11">
        <v>-0.15770000457763672</v>
      </c>
      <c r="X131" s="4">
        <v>-0.15550000190734864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4">
        <v>0</v>
      </c>
      <c r="AM131" s="4">
        <v>0</v>
      </c>
      <c r="AN131" s="12">
        <v>0</v>
      </c>
      <c r="AO131" s="13">
        <v>46322</v>
      </c>
    </row>
    <row r="132" spans="1:41" x14ac:dyDescent="0.3">
      <c r="A132" s="3" t="s">
        <v>204</v>
      </c>
      <c r="B132" s="3" t="s">
        <v>68</v>
      </c>
      <c r="C132" s="4">
        <v>5.8499999046325683E-2</v>
      </c>
      <c r="D132" s="4">
        <v>0.1509000015258789</v>
      </c>
      <c r="E132" s="4">
        <v>2.7899999618530274E-2</v>
      </c>
      <c r="F132" s="4">
        <v>9.7600002288818363E-2</v>
      </c>
      <c r="G132" s="5">
        <v>64</v>
      </c>
      <c r="H132" s="5">
        <v>20.030000686645508</v>
      </c>
      <c r="I132" s="5">
        <v>3.9999999105930328E-2</v>
      </c>
      <c r="J132" s="5">
        <v>17.440000534057617</v>
      </c>
      <c r="K132" s="5">
        <v>1.81</v>
      </c>
      <c r="L132" s="6">
        <v>47</v>
      </c>
      <c r="M132" s="7" t="s">
        <v>205</v>
      </c>
      <c r="N132" s="6">
        <v>2013</v>
      </c>
      <c r="O132" s="3" t="s">
        <v>206</v>
      </c>
      <c r="P132" s="4">
        <v>0.98499999999999999</v>
      </c>
      <c r="Q132" s="4">
        <v>-1.1999999731779098E-3</v>
      </c>
      <c r="R132" s="8">
        <v>3</v>
      </c>
      <c r="S132" s="5">
        <v>-6.309999942779541</v>
      </c>
      <c r="T132" s="5">
        <v>1.0499999523162842</v>
      </c>
      <c r="U132" s="10">
        <v>94</v>
      </c>
      <c r="V132" s="10">
        <v>120</v>
      </c>
      <c r="W132" s="14">
        <v>-0.29700000762939455</v>
      </c>
      <c r="X132" s="4">
        <v>-0.3306999969482422</v>
      </c>
      <c r="Y132" s="4">
        <v>0.57439998626708988</v>
      </c>
      <c r="Z132" s="4">
        <v>0.22920000076293945</v>
      </c>
      <c r="AA132" s="4">
        <v>0.10890000343322753</v>
      </c>
      <c r="AB132" s="4">
        <v>8.7499999999999994E-2</v>
      </c>
      <c r="AC132" s="4">
        <v>0.40779998779296878</v>
      </c>
      <c r="AD132" s="4">
        <v>0.11859999656677246</v>
      </c>
      <c r="AE132" s="4">
        <v>8.2200002670288083E-2</v>
      </c>
      <c r="AF132" s="4">
        <v>7.5799999237060545E-2</v>
      </c>
      <c r="AG132" s="4">
        <v>1.8500000238418579E-2</v>
      </c>
      <c r="AH132" s="4">
        <v>4.5500001907348632E-2</v>
      </c>
      <c r="AI132" s="4">
        <v>0</v>
      </c>
      <c r="AJ132" s="4">
        <v>0.10319999694824218</v>
      </c>
      <c r="AK132" s="4">
        <v>0.13380000114440918</v>
      </c>
      <c r="AL132" s="4">
        <v>7.799999713897705E-3</v>
      </c>
      <c r="AM132" s="4">
        <v>6.6000002622604373E-3</v>
      </c>
      <c r="AN132" s="12">
        <v>0</v>
      </c>
      <c r="AO132" s="13">
        <v>46322</v>
      </c>
    </row>
    <row r="133" spans="1:41" x14ac:dyDescent="0.3">
      <c r="A133" s="3" t="s">
        <v>207</v>
      </c>
      <c r="B133" s="3" t="s">
        <v>68</v>
      </c>
      <c r="C133" s="4">
        <v>6.9400000572204593E-2</v>
      </c>
      <c r="D133" s="4">
        <v>0.11699999809265137</v>
      </c>
      <c r="E133" s="4">
        <v>2.7799999713897704E-2</v>
      </c>
      <c r="F133" s="4">
        <v>8.9200000762939449E-2</v>
      </c>
      <c r="G133" s="5">
        <v>64</v>
      </c>
      <c r="H133" s="5">
        <v>20.819999694824219</v>
      </c>
      <c r="I133" s="5">
        <v>-9.9999997764825821E-3</v>
      </c>
      <c r="J133" s="5">
        <v>14.970000267028809</v>
      </c>
      <c r="K133" s="5">
        <v>1.77</v>
      </c>
      <c r="L133" s="6">
        <v>302</v>
      </c>
      <c r="M133" s="7" t="s">
        <v>208</v>
      </c>
      <c r="N133" s="6">
        <v>2013</v>
      </c>
      <c r="O133" s="3" t="s">
        <v>209</v>
      </c>
      <c r="P133" s="4">
        <v>0.99430000305175781</v>
      </c>
      <c r="Q133" s="4">
        <v>0</v>
      </c>
      <c r="R133" s="8">
        <v>2</v>
      </c>
      <c r="S133" s="5">
        <v>-6.0100002288818359</v>
      </c>
      <c r="T133" s="5">
        <v>0.87000000476837158</v>
      </c>
      <c r="U133" s="10">
        <v>71</v>
      </c>
      <c r="V133" s="9">
        <v>92</v>
      </c>
      <c r="W133" s="11">
        <v>-0.1534000015258789</v>
      </c>
      <c r="X133" s="4">
        <v>-9.4899997711181641E-2</v>
      </c>
      <c r="Y133" s="4">
        <v>0.67389999389648436</v>
      </c>
      <c r="Z133" s="4">
        <v>0.20389999389648439</v>
      </c>
      <c r="AA133" s="4">
        <v>0.12220000267028809</v>
      </c>
      <c r="AB133" s="4">
        <v>0</v>
      </c>
      <c r="AC133" s="4">
        <v>0.36900001525878906</v>
      </c>
      <c r="AD133" s="4">
        <v>0.12600000381469725</v>
      </c>
      <c r="AE133" s="4">
        <v>0.14270000457763671</v>
      </c>
      <c r="AF133" s="4">
        <v>6.2699999809265133E-2</v>
      </c>
      <c r="AG133" s="4">
        <v>3.8099999427795413E-2</v>
      </c>
      <c r="AH133" s="4">
        <v>2.4100000858306884E-2</v>
      </c>
      <c r="AI133" s="4">
        <v>0</v>
      </c>
      <c r="AJ133" s="4">
        <v>2.7599999904632567E-2</v>
      </c>
      <c r="AK133" s="4">
        <v>0.16809999465942382</v>
      </c>
      <c r="AL133" s="4">
        <v>1.3200000524520875E-2</v>
      </c>
      <c r="AM133" s="4">
        <v>2.8499999046325684E-2</v>
      </c>
      <c r="AN133" s="12">
        <v>0</v>
      </c>
      <c r="AO133" s="13">
        <v>46322</v>
      </c>
    </row>
    <row r="134" spans="1:41" x14ac:dyDescent="0.3">
      <c r="A134" s="3" t="s">
        <v>497</v>
      </c>
      <c r="B134" s="3" t="s">
        <v>498</v>
      </c>
      <c r="C134" s="4">
        <v>3.4999999403953551E-3</v>
      </c>
      <c r="D134" s="4">
        <v>6.2300000190734867E-2</v>
      </c>
      <c r="E134" s="4">
        <v>2.7599999904632567E-2</v>
      </c>
      <c r="F134" s="4">
        <v>3.3800001144409182E-2</v>
      </c>
      <c r="G134" s="5">
        <v>18</v>
      </c>
      <c r="H134" s="5">
        <v>0</v>
      </c>
      <c r="I134" s="5">
        <v>0.15999999642372131</v>
      </c>
      <c r="J134" s="5">
        <v>6.0900001525878906</v>
      </c>
      <c r="K134" s="5">
        <v>0.73</v>
      </c>
      <c r="L134" s="6">
        <v>2600</v>
      </c>
      <c r="M134" s="7" t="s">
        <v>499</v>
      </c>
      <c r="N134" s="6">
        <v>2011</v>
      </c>
      <c r="O134" s="3" t="s">
        <v>500</v>
      </c>
      <c r="P134" s="4">
        <v>0</v>
      </c>
      <c r="Q134" s="4">
        <v>0.93339996337890629</v>
      </c>
      <c r="R134" s="8">
        <v>5</v>
      </c>
      <c r="S134" s="5">
        <v>0.12999999523162842</v>
      </c>
      <c r="T134" s="5">
        <v>0.95999997854232788</v>
      </c>
      <c r="U134" s="10">
        <v>95</v>
      </c>
      <c r="V134" s="9">
        <v>92</v>
      </c>
      <c r="W134" s="11">
        <v>-2.5899999141693116E-2</v>
      </c>
      <c r="X134" s="4">
        <v>-2.380000114440918E-2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12">
        <v>0</v>
      </c>
      <c r="AO134" s="13">
        <v>46322</v>
      </c>
    </row>
    <row r="135" spans="1:41" x14ac:dyDescent="0.3">
      <c r="A135" s="3" t="s">
        <v>522</v>
      </c>
      <c r="B135" s="3" t="s">
        <v>510</v>
      </c>
      <c r="C135" s="4">
        <v>6.7000001668930057E-3</v>
      </c>
      <c r="D135" s="4">
        <v>2.8999999165534975E-3</v>
      </c>
      <c r="E135" s="4">
        <v>2.5599999427795408E-2</v>
      </c>
      <c r="F135" s="4">
        <v>4.6799998283386234E-2</v>
      </c>
      <c r="G135" s="5">
        <v>8</v>
      </c>
      <c r="H135" s="5">
        <v>22</v>
      </c>
      <c r="I135" s="5">
        <v>0.34000000357627869</v>
      </c>
      <c r="J135" s="5">
        <v>5.1500000953674316</v>
      </c>
      <c r="K135" s="5">
        <v>1.1100000000000001</v>
      </c>
      <c r="L135" s="6">
        <v>2000</v>
      </c>
      <c r="M135" s="7" t="s">
        <v>523</v>
      </c>
      <c r="N135" s="6">
        <v>2013</v>
      </c>
      <c r="O135" s="3" t="s">
        <v>524</v>
      </c>
      <c r="P135" s="4">
        <v>3.7899999618530272E-2</v>
      </c>
      <c r="Q135" s="4">
        <v>0.41630001068115235</v>
      </c>
      <c r="R135" s="8">
        <v>4</v>
      </c>
      <c r="S135" s="5">
        <v>1.809999942779541</v>
      </c>
      <c r="T135" s="5">
        <v>1.9999999552965164E-2</v>
      </c>
      <c r="U135" s="10">
        <v>57</v>
      </c>
      <c r="V135" s="9">
        <v>72</v>
      </c>
      <c r="W135" s="11">
        <v>-6.9000000953674312E-2</v>
      </c>
      <c r="X135" s="4">
        <v>-1.2500000000000001E-2</v>
      </c>
      <c r="Y135" s="4">
        <v>6.8699998855590819E-2</v>
      </c>
      <c r="Z135" s="4">
        <v>0.8801000213623047</v>
      </c>
      <c r="AA135" s="4">
        <v>4.3499999046325684E-2</v>
      </c>
      <c r="AB135" s="4">
        <v>7.799999713897705E-3</v>
      </c>
      <c r="AC135" s="4">
        <v>0.10229999542236329</v>
      </c>
      <c r="AD135" s="4">
        <v>6.0399999618530271E-2</v>
      </c>
      <c r="AE135" s="4">
        <v>0.24950000762939453</v>
      </c>
      <c r="AF135" s="4">
        <v>4.9099998474121095E-2</v>
      </c>
      <c r="AG135" s="4">
        <v>5.5599999427795407E-2</v>
      </c>
      <c r="AH135" s="4">
        <v>5.070000171661377E-2</v>
      </c>
      <c r="AI135" s="4">
        <v>5.070000171661377E-2</v>
      </c>
      <c r="AJ135" s="4">
        <v>8.640000343322754E-2</v>
      </c>
      <c r="AK135" s="4">
        <v>0.21790000915527344</v>
      </c>
      <c r="AL135" s="4">
        <v>2.0199999809265137E-2</v>
      </c>
      <c r="AM135" s="4">
        <v>5.7300000190734862E-2</v>
      </c>
      <c r="AN135" s="12">
        <v>0</v>
      </c>
      <c r="AO135" s="13">
        <v>46322</v>
      </c>
    </row>
    <row r="136" spans="1:41" x14ac:dyDescent="0.3">
      <c r="A136" s="3" t="s">
        <v>210</v>
      </c>
      <c r="B136" s="3" t="s">
        <v>68</v>
      </c>
      <c r="C136" s="4">
        <v>0.13279999732971193</v>
      </c>
      <c r="D136" s="4">
        <v>0.14279999732971191</v>
      </c>
      <c r="E136" s="4">
        <v>2.5599999427795408E-2</v>
      </c>
      <c r="F136" s="4">
        <v>0.13539999961853028</v>
      </c>
      <c r="G136" s="5">
        <v>83</v>
      </c>
      <c r="H136" s="5">
        <v>26.229999542236328</v>
      </c>
      <c r="I136" s="5">
        <v>-7.9999998211860657E-2</v>
      </c>
      <c r="J136" s="5">
        <v>23.979999542236328</v>
      </c>
      <c r="K136" s="5">
        <v>0.68</v>
      </c>
      <c r="L136" s="6">
        <v>3300</v>
      </c>
      <c r="M136" s="7" t="s">
        <v>211</v>
      </c>
      <c r="N136" s="6">
        <v>2016</v>
      </c>
      <c r="O136" s="3" t="s">
        <v>212</v>
      </c>
      <c r="P136" s="4">
        <v>0.98379997253417972</v>
      </c>
      <c r="Q136" s="4">
        <v>0</v>
      </c>
      <c r="R136" s="8">
        <v>2</v>
      </c>
      <c r="S136" s="5">
        <v>-10.359999656677246</v>
      </c>
      <c r="T136" s="5">
        <v>1.2100000381469727</v>
      </c>
      <c r="U136" s="9">
        <v>101</v>
      </c>
      <c r="V136" s="10">
        <v>151</v>
      </c>
      <c r="W136" s="11">
        <v>-0.48330001831054686</v>
      </c>
      <c r="X136" s="4">
        <v>-0.3306999969482422</v>
      </c>
      <c r="Y136" s="4">
        <v>0.56709999084472651</v>
      </c>
      <c r="Z136" s="4">
        <v>0.1275</v>
      </c>
      <c r="AA136" s="4">
        <v>9.3100004196166986E-2</v>
      </c>
      <c r="AB136" s="4">
        <v>0.21219999313354493</v>
      </c>
      <c r="AC136" s="4">
        <v>0.37700000762939451</v>
      </c>
      <c r="AD136" s="4">
        <v>7.4699997901916504E-2</v>
      </c>
      <c r="AE136" s="4">
        <v>3.0799999237060546E-2</v>
      </c>
      <c r="AF136" s="4">
        <v>0.13300000190734862</v>
      </c>
      <c r="AG136" s="4">
        <v>0</v>
      </c>
      <c r="AH136" s="4">
        <v>3.1600000858306887E-2</v>
      </c>
      <c r="AI136" s="4">
        <v>0</v>
      </c>
      <c r="AJ136" s="4">
        <v>0.23899999618530274</v>
      </c>
      <c r="AK136" s="4">
        <v>0.11380000114440918</v>
      </c>
      <c r="AL136" s="4">
        <v>0</v>
      </c>
      <c r="AM136" s="4">
        <v>0</v>
      </c>
      <c r="AN136" s="12">
        <v>0</v>
      </c>
      <c r="AO136" s="13">
        <v>46322</v>
      </c>
    </row>
    <row r="137" spans="1:41" x14ac:dyDescent="0.3">
      <c r="A137" s="3" t="s">
        <v>501</v>
      </c>
      <c r="B137" s="3" t="s">
        <v>502</v>
      </c>
      <c r="C137" s="4">
        <v>1.0000000149011613E-3</v>
      </c>
      <c r="D137" s="4">
        <v>5.2499999999999998E-2</v>
      </c>
      <c r="E137" s="4">
        <v>2.3399999141693117E-2</v>
      </c>
      <c r="G137" s="5">
        <v>15</v>
      </c>
      <c r="H137" s="5">
        <v>0</v>
      </c>
      <c r="I137" s="5">
        <v>0.11999999731779099</v>
      </c>
      <c r="J137" s="5">
        <v>6.0300002098083496</v>
      </c>
      <c r="K137" s="5">
        <v>0.77</v>
      </c>
      <c r="L137" s="6">
        <v>2300</v>
      </c>
      <c r="M137" s="7" t="s">
        <v>503</v>
      </c>
      <c r="N137" s="6">
        <v>2012</v>
      </c>
      <c r="O137" s="3" t="s">
        <v>504</v>
      </c>
      <c r="P137" s="4">
        <v>0</v>
      </c>
      <c r="Q137" s="4">
        <v>0.71400001525878909</v>
      </c>
      <c r="R137" s="8">
        <v>3</v>
      </c>
      <c r="S137" s="5">
        <v>-9.0000003576278687E-2</v>
      </c>
      <c r="T137" s="5">
        <v>0.94999998807907104</v>
      </c>
      <c r="U137" s="10">
        <v>91</v>
      </c>
      <c r="V137" s="9">
        <v>89</v>
      </c>
      <c r="W137" s="11">
        <v>-0.15149999618530274</v>
      </c>
      <c r="X137" s="4">
        <v>-0.14499999999999999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12">
        <v>0</v>
      </c>
      <c r="AO137" s="13">
        <v>46322</v>
      </c>
    </row>
    <row r="138" spans="1:41" x14ac:dyDescent="0.3">
      <c r="A138" s="3" t="s">
        <v>213</v>
      </c>
      <c r="B138" s="3" t="s">
        <v>68</v>
      </c>
      <c r="C138" s="4">
        <v>2.3900001049041747E-2</v>
      </c>
      <c r="D138" s="4">
        <v>0.18219999313354493</v>
      </c>
      <c r="E138" s="15">
        <v>2.1099998950958251E-2</v>
      </c>
      <c r="F138" s="15">
        <v>0.12380000114440919</v>
      </c>
      <c r="G138" s="5">
        <v>75</v>
      </c>
      <c r="H138" s="5">
        <v>12.550000190734863</v>
      </c>
      <c r="I138" s="5">
        <v>0.76999998092651367</v>
      </c>
      <c r="J138" s="5">
        <v>18.940000534057617</v>
      </c>
      <c r="K138" s="5">
        <v>0.86</v>
      </c>
      <c r="L138" s="6">
        <v>9500</v>
      </c>
      <c r="M138" s="7" t="s">
        <v>214</v>
      </c>
      <c r="N138" s="6">
        <v>2010</v>
      </c>
      <c r="O138" s="3" t="s">
        <v>215</v>
      </c>
      <c r="P138" s="4">
        <v>0.9991000366210937</v>
      </c>
      <c r="Q138" s="4">
        <v>1.9999999552965163E-4</v>
      </c>
      <c r="R138" s="8">
        <v>3</v>
      </c>
      <c r="S138" s="5">
        <v>-3.6600000858306885</v>
      </c>
      <c r="T138" s="5">
        <v>1.1200000047683716</v>
      </c>
      <c r="U138" s="9">
        <v>106</v>
      </c>
      <c r="V138" s="10">
        <v>134</v>
      </c>
      <c r="W138" s="11">
        <v>-0.18760000228881835</v>
      </c>
      <c r="X138" s="4">
        <v>-9.4899997711181641E-2</v>
      </c>
      <c r="Y138" s="4">
        <v>0.45090000152587889</v>
      </c>
      <c r="Z138" s="4">
        <v>0.15300000190734864</v>
      </c>
      <c r="AA138" s="4">
        <v>0.25840000152587889</v>
      </c>
      <c r="AB138" s="4">
        <v>0.13760000228881836</v>
      </c>
      <c r="AC138" s="4">
        <v>0.40790000915527341</v>
      </c>
      <c r="AD138" s="4">
        <v>0</v>
      </c>
      <c r="AE138" s="4">
        <v>9.7200002670288083E-2</v>
      </c>
      <c r="AF138" s="4">
        <v>0.18200000762939453</v>
      </c>
      <c r="AG138" s="4">
        <v>0</v>
      </c>
      <c r="AH138" s="4">
        <v>0</v>
      </c>
      <c r="AI138" s="4">
        <v>0</v>
      </c>
      <c r="AJ138" s="4">
        <v>0.24180000305175781</v>
      </c>
      <c r="AK138" s="4">
        <v>7.1100001335144047E-2</v>
      </c>
      <c r="AL138" s="4">
        <v>0</v>
      </c>
      <c r="AM138" s="4">
        <v>0</v>
      </c>
      <c r="AN138" s="12">
        <v>6.0848668217658997E-3</v>
      </c>
      <c r="AO138" s="13">
        <v>46322</v>
      </c>
    </row>
    <row r="139" spans="1:41" x14ac:dyDescent="0.3">
      <c r="A139" s="3" t="s">
        <v>216</v>
      </c>
      <c r="B139" s="3" t="s">
        <v>58</v>
      </c>
      <c r="C139" s="4">
        <v>2.2999999523162843E-2</v>
      </c>
      <c r="D139" s="4">
        <v>3.5000000000000003E-2</v>
      </c>
      <c r="E139" s="4">
        <v>2.0199999809265137E-2</v>
      </c>
      <c r="F139" s="15">
        <v>8.2493896484374996E-2</v>
      </c>
      <c r="G139" s="5">
        <v>57</v>
      </c>
      <c r="H139" s="5">
        <v>20.399999618530273</v>
      </c>
      <c r="I139" s="5">
        <v>-7.9999998211860657E-2</v>
      </c>
      <c r="J139" s="5">
        <v>12.119999885559082</v>
      </c>
      <c r="K139" s="5">
        <v>0.86</v>
      </c>
      <c r="L139" s="6">
        <v>8200</v>
      </c>
      <c r="M139" s="7" t="s">
        <v>217</v>
      </c>
      <c r="N139" s="6">
        <v>2008</v>
      </c>
      <c r="O139" s="3" t="s">
        <v>218</v>
      </c>
      <c r="P139" s="4">
        <v>0.9680000305175781</v>
      </c>
      <c r="Q139" s="4">
        <v>9.9999997764825814E-5</v>
      </c>
      <c r="R139" s="8">
        <v>1</v>
      </c>
      <c r="S139" s="5">
        <v>-12.510000228881836</v>
      </c>
      <c r="T139" s="5">
        <v>0.75</v>
      </c>
      <c r="U139" s="10">
        <v>50</v>
      </c>
      <c r="V139" s="10">
        <v>132</v>
      </c>
      <c r="W139" s="11">
        <v>-0.25459999084472656</v>
      </c>
      <c r="X139" s="4">
        <v>-7.9600000381469721E-2</v>
      </c>
      <c r="Y139" s="4">
        <v>0.73639999389648436</v>
      </c>
      <c r="Z139" s="4">
        <v>0.19809999465942382</v>
      </c>
      <c r="AA139" s="4">
        <v>6.5500001907348629E-2</v>
      </c>
      <c r="AB139" s="4">
        <v>0</v>
      </c>
      <c r="AC139" s="4">
        <v>0.21010000228881837</v>
      </c>
      <c r="AD139" s="4">
        <v>0.12710000038146974</v>
      </c>
      <c r="AE139" s="4">
        <v>0.17200000762939452</v>
      </c>
      <c r="AF139" s="4">
        <v>0.11819999694824218</v>
      </c>
      <c r="AG139" s="4">
        <v>0</v>
      </c>
      <c r="AH139" s="4">
        <v>0.13420000076293945</v>
      </c>
      <c r="AI139" s="4">
        <v>0</v>
      </c>
      <c r="AJ139" s="4">
        <v>0.12539999961853027</v>
      </c>
      <c r="AK139" s="4">
        <v>0.11310000419616699</v>
      </c>
      <c r="AL139" s="4">
        <v>0</v>
      </c>
      <c r="AM139" s="4">
        <v>0</v>
      </c>
      <c r="AN139" s="12">
        <v>0</v>
      </c>
      <c r="AO139" s="13">
        <v>46322</v>
      </c>
    </row>
    <row r="140" spans="1:41" x14ac:dyDescent="0.3">
      <c r="A140" s="3" t="s">
        <v>219</v>
      </c>
      <c r="B140" s="3" t="s">
        <v>68</v>
      </c>
      <c r="C140" s="4">
        <v>6.5599999427795416E-2</v>
      </c>
      <c r="D140" s="4">
        <v>0.13020000457763672</v>
      </c>
      <c r="E140" s="4">
        <v>1.899999976158142E-2</v>
      </c>
      <c r="F140" s="4">
        <v>0.11119999885559081</v>
      </c>
      <c r="G140" s="5">
        <v>69</v>
      </c>
      <c r="H140" s="5">
        <v>21.549999237060547</v>
      </c>
      <c r="I140" s="5">
        <v>-5.000000074505806E-2</v>
      </c>
      <c r="J140" s="5">
        <v>16.299999237060547</v>
      </c>
      <c r="K140" s="5">
        <v>0.96</v>
      </c>
      <c r="L140" s="6">
        <v>2300</v>
      </c>
      <c r="M140" s="7" t="s">
        <v>220</v>
      </c>
      <c r="N140" s="6">
        <v>2007</v>
      </c>
      <c r="O140" s="3" t="s">
        <v>221</v>
      </c>
      <c r="P140" s="4">
        <v>0.95900001525878908</v>
      </c>
      <c r="Q140" s="4">
        <v>0</v>
      </c>
      <c r="R140" s="8">
        <v>3</v>
      </c>
      <c r="S140" s="5">
        <v>-7.440000057220459</v>
      </c>
      <c r="T140" s="5">
        <v>0.97000002861022949</v>
      </c>
      <c r="U140" s="10">
        <v>80</v>
      </c>
      <c r="V140" s="10">
        <v>109</v>
      </c>
      <c r="W140" s="11">
        <v>-0.34119998931884765</v>
      </c>
      <c r="X140" s="4">
        <v>-0.3306999969482422</v>
      </c>
      <c r="Y140" s="4">
        <v>0.65510002136230472</v>
      </c>
      <c r="Z140" s="4">
        <v>0.23399999618530273</v>
      </c>
      <c r="AA140" s="4">
        <v>8.3599996566772458E-2</v>
      </c>
      <c r="AB140" s="4">
        <v>2.7300000190734863E-2</v>
      </c>
      <c r="AC140" s="4">
        <v>0.30850000381469728</v>
      </c>
      <c r="AD140" s="4">
        <v>0.15060000419616698</v>
      </c>
      <c r="AE140" s="4">
        <v>5.4200000762939453E-2</v>
      </c>
      <c r="AF140" s="4">
        <v>0.13359999656677246</v>
      </c>
      <c r="AG140" s="4">
        <v>2.5199999809265138E-2</v>
      </c>
      <c r="AH140" s="4">
        <v>9.9399995803833005E-2</v>
      </c>
      <c r="AI140" s="4">
        <v>0</v>
      </c>
      <c r="AJ140" s="4">
        <v>0.21870000839233397</v>
      </c>
      <c r="AK140" s="4">
        <v>9.8000001907348634E-3</v>
      </c>
      <c r="AL140" s="4">
        <v>0</v>
      </c>
      <c r="AM140" s="4">
        <v>0</v>
      </c>
      <c r="AN140" s="12">
        <v>0</v>
      </c>
      <c r="AO140" s="13">
        <v>46322</v>
      </c>
    </row>
    <row r="141" spans="1:41" x14ac:dyDescent="0.3">
      <c r="A141" s="3" t="s">
        <v>310</v>
      </c>
      <c r="B141" s="3" t="s">
        <v>68</v>
      </c>
      <c r="C141" s="4">
        <v>0.10420000076293945</v>
      </c>
      <c r="D141" s="4">
        <v>0.27670000076293944</v>
      </c>
      <c r="E141" s="4">
        <v>1.7999999523162842E-2</v>
      </c>
      <c r="F141" s="4">
        <v>0.111899995803833</v>
      </c>
      <c r="G141" s="5">
        <v>99</v>
      </c>
      <c r="H141" s="5">
        <v>29.680000305175781</v>
      </c>
      <c r="I141" s="5">
        <v>1.9999999552965164E-2</v>
      </c>
      <c r="J141" s="5">
        <v>32.560001373291016</v>
      </c>
      <c r="L141" s="6">
        <v>432</v>
      </c>
      <c r="M141" s="7" t="s">
        <v>308</v>
      </c>
      <c r="N141" s="6">
        <v>2013</v>
      </c>
      <c r="O141" s="3" t="s">
        <v>311</v>
      </c>
      <c r="P141" s="4">
        <v>0.95610000610351564</v>
      </c>
      <c r="Q141" s="4">
        <v>1.0900000333786011E-2</v>
      </c>
      <c r="R141" s="8">
        <v>0</v>
      </c>
      <c r="S141" s="5">
        <v>-9.2600002288818359</v>
      </c>
      <c r="T141" s="5">
        <v>1.3500000238418579</v>
      </c>
      <c r="U141" s="9">
        <v>115</v>
      </c>
      <c r="V141" s="10">
        <v>169</v>
      </c>
      <c r="W141" s="11">
        <v>-0.60369998931884761</v>
      </c>
      <c r="X141" s="4">
        <v>-0.3306999969482422</v>
      </c>
      <c r="Y141" s="4">
        <v>0.85230003356933592</v>
      </c>
      <c r="Z141" s="4">
        <v>9.2399997711181639E-2</v>
      </c>
      <c r="AA141" s="4">
        <v>3.3000001311302186E-3</v>
      </c>
      <c r="AB141" s="4">
        <v>5.1999998092651364E-2</v>
      </c>
      <c r="AC141" s="4">
        <v>0.26469999313354492</v>
      </c>
      <c r="AD141" s="4">
        <v>0.24559999465942384</v>
      </c>
      <c r="AE141" s="4">
        <v>0.10100000381469726</v>
      </c>
      <c r="AF141" s="4">
        <v>8.0100002288818362E-2</v>
      </c>
      <c r="AG141" s="4">
        <v>0</v>
      </c>
      <c r="AH141" s="4">
        <v>9.8000001907348634E-3</v>
      </c>
      <c r="AI141" s="4">
        <v>0</v>
      </c>
      <c r="AJ141" s="4">
        <v>0.19200000762939454</v>
      </c>
      <c r="AK141" s="4">
        <v>8.5399999618530273E-2</v>
      </c>
      <c r="AL141" s="4">
        <v>2.1300001144409178E-2</v>
      </c>
      <c r="AM141" s="4">
        <v>0</v>
      </c>
      <c r="AN141" s="12">
        <v>0</v>
      </c>
      <c r="AO141" s="13">
        <v>46322</v>
      </c>
    </row>
    <row r="142" spans="1:41" x14ac:dyDescent="0.3">
      <c r="A142" s="3" t="s">
        <v>312</v>
      </c>
      <c r="B142" s="3" t="s">
        <v>269</v>
      </c>
      <c r="C142" s="4">
        <v>5.8000001907348636E-2</v>
      </c>
      <c r="D142" s="4">
        <v>9.0500001907348637E-2</v>
      </c>
      <c r="E142" s="4">
        <v>1.0900000333786011E-2</v>
      </c>
      <c r="F142" s="4">
        <v>0.10800000190734864</v>
      </c>
      <c r="G142" s="5">
        <v>88</v>
      </c>
      <c r="H142" s="5">
        <v>25.350000381469727</v>
      </c>
      <c r="I142" s="5">
        <v>-0.18000000715255737</v>
      </c>
      <c r="J142" s="5">
        <v>19.450000762939453</v>
      </c>
      <c r="K142" s="5">
        <v>0.03</v>
      </c>
      <c r="L142" s="6">
        <v>953</v>
      </c>
      <c r="M142" s="7" t="s">
        <v>313</v>
      </c>
      <c r="N142" s="6">
        <v>2007</v>
      </c>
      <c r="O142" s="3" t="s">
        <v>314</v>
      </c>
      <c r="P142" s="4">
        <v>0.95160003662109371</v>
      </c>
      <c r="Q142" s="4">
        <v>0</v>
      </c>
      <c r="R142" s="8">
        <v>2</v>
      </c>
      <c r="S142" s="5">
        <v>-13.010000228881836</v>
      </c>
      <c r="T142" s="5">
        <v>0.94999998807907104</v>
      </c>
      <c r="U142" s="10">
        <v>69</v>
      </c>
      <c r="V142" s="10">
        <v>125</v>
      </c>
      <c r="W142" s="11">
        <v>-0.19760000228881835</v>
      </c>
      <c r="X142" s="4">
        <v>-0.11119999885559081</v>
      </c>
      <c r="Y142" s="4">
        <v>0.89830001831054684</v>
      </c>
      <c r="Z142" s="4">
        <v>0.10170000076293945</v>
      </c>
      <c r="AA142" s="4">
        <v>0</v>
      </c>
      <c r="AB142" s="4">
        <v>0</v>
      </c>
      <c r="AC142" s="4">
        <v>0.45779998779296877</v>
      </c>
      <c r="AD142" s="4">
        <v>0.12199999809265137</v>
      </c>
      <c r="AE142" s="4">
        <v>0.11739999771118165</v>
      </c>
      <c r="AF142" s="4">
        <v>0.13720000267028809</v>
      </c>
      <c r="AG142" s="4">
        <v>2.4600000381469728E-2</v>
      </c>
      <c r="AH142" s="4">
        <v>0</v>
      </c>
      <c r="AI142" s="4">
        <v>0</v>
      </c>
      <c r="AJ142" s="4">
        <v>4.8800001144409182E-2</v>
      </c>
      <c r="AK142" s="4">
        <v>9.1999998092651372E-2</v>
      </c>
      <c r="AL142" s="4">
        <v>0</v>
      </c>
      <c r="AM142" s="4">
        <v>0</v>
      </c>
      <c r="AN142" s="12">
        <v>0</v>
      </c>
      <c r="AO142" s="13">
        <v>46322</v>
      </c>
    </row>
    <row r="143" spans="1:41" x14ac:dyDescent="0.3">
      <c r="A143" s="3" t="s">
        <v>222</v>
      </c>
      <c r="B143" s="3" t="s">
        <v>68</v>
      </c>
      <c r="C143" s="4">
        <v>0.10170000076293945</v>
      </c>
      <c r="D143" s="4">
        <v>0.10430000305175781</v>
      </c>
      <c r="E143" s="4">
        <v>8.999999761581421E-3</v>
      </c>
      <c r="F143" s="4">
        <v>0.11890000343322754</v>
      </c>
      <c r="G143" s="5">
        <v>71</v>
      </c>
      <c r="H143" s="5">
        <v>29.159999847412109</v>
      </c>
      <c r="I143" s="5">
        <v>1.9999999552965164E-2</v>
      </c>
      <c r="J143" s="5">
        <v>22.430000305175781</v>
      </c>
      <c r="K143" s="5">
        <v>1.58</v>
      </c>
      <c r="L143" s="6">
        <v>1300</v>
      </c>
      <c r="M143" s="7" t="s">
        <v>223</v>
      </c>
      <c r="N143" s="6">
        <v>2015</v>
      </c>
      <c r="O143" s="3" t="s">
        <v>224</v>
      </c>
      <c r="P143" s="4">
        <v>0.98489997863769529</v>
      </c>
      <c r="Q143" s="4">
        <v>0</v>
      </c>
      <c r="R143" s="8">
        <v>2</v>
      </c>
      <c r="S143" s="5">
        <v>-7.9499998092651367</v>
      </c>
      <c r="T143" s="5">
        <v>1.1399999856948853</v>
      </c>
      <c r="U143" s="10">
        <v>94</v>
      </c>
      <c r="V143" s="10">
        <v>149</v>
      </c>
      <c r="W143" s="11">
        <v>-0.16870000839233398</v>
      </c>
      <c r="X143" s="4">
        <v>-9.4899997711181641E-2</v>
      </c>
      <c r="Y143" s="4">
        <v>0.78879997253417966</v>
      </c>
      <c r="Z143" s="4">
        <v>0.12670000076293944</v>
      </c>
      <c r="AA143" s="4">
        <v>6.6300001144409176E-2</v>
      </c>
      <c r="AB143" s="4">
        <v>1.8099999427795409E-2</v>
      </c>
      <c r="AC143" s="4">
        <v>0.47330001831054686</v>
      </c>
      <c r="AD143" s="4">
        <v>5.820000171661377E-2</v>
      </c>
      <c r="AE143" s="4">
        <v>9.5999997854232782E-3</v>
      </c>
      <c r="AF143" s="4">
        <v>0.15199999809265136</v>
      </c>
      <c r="AG143" s="4">
        <v>0</v>
      </c>
      <c r="AH143" s="4">
        <v>1.6200000047683717E-2</v>
      </c>
      <c r="AI143" s="4">
        <v>0</v>
      </c>
      <c r="AJ143" s="4">
        <v>0.15569999694824219</v>
      </c>
      <c r="AK143" s="4">
        <v>0.13489999771118164</v>
      </c>
      <c r="AL143" s="4">
        <v>0</v>
      </c>
      <c r="AM143" s="4">
        <v>0</v>
      </c>
      <c r="AN143" s="12">
        <v>0</v>
      </c>
      <c r="AO143" s="13">
        <v>46322</v>
      </c>
    </row>
    <row r="144" spans="1:41" x14ac:dyDescent="0.3">
      <c r="A144" s="3" t="s">
        <v>225</v>
      </c>
      <c r="B144" s="3" t="s">
        <v>68</v>
      </c>
      <c r="C144" s="4">
        <v>2.7699999809265137E-2</v>
      </c>
      <c r="D144" s="4">
        <v>4.1900000572204589E-2</v>
      </c>
      <c r="E144" s="15">
        <v>6.2000000476837161E-3</v>
      </c>
      <c r="F144" s="15">
        <v>9.1400003433227545E-2</v>
      </c>
      <c r="G144" s="5">
        <v>66</v>
      </c>
      <c r="H144" s="5">
        <v>20.379999160766602</v>
      </c>
      <c r="I144" s="5">
        <v>-0.10000000149011612</v>
      </c>
      <c r="J144" s="5">
        <v>14.600000381469727</v>
      </c>
      <c r="K144" s="5">
        <v>0.97</v>
      </c>
      <c r="L144" s="6">
        <v>869</v>
      </c>
      <c r="M144" s="7" t="s">
        <v>226</v>
      </c>
      <c r="N144" s="6">
        <v>2018</v>
      </c>
      <c r="O144" s="3" t="s">
        <v>227</v>
      </c>
      <c r="P144" s="4">
        <v>0.98669998168945316</v>
      </c>
      <c r="Q144" s="4">
        <v>0</v>
      </c>
      <c r="R144" s="8">
        <v>1</v>
      </c>
      <c r="S144" s="5">
        <v>-13.180000305175781</v>
      </c>
      <c r="T144" s="5">
        <v>0.69999998807907104</v>
      </c>
      <c r="U144" s="10">
        <v>47</v>
      </c>
      <c r="V144" s="10">
        <v>110</v>
      </c>
      <c r="W144" s="11">
        <v>-0.28870000839233401</v>
      </c>
      <c r="X144" s="4">
        <v>-9.4899997711181641E-2</v>
      </c>
      <c r="Y144" s="4">
        <v>0.70889999389648439</v>
      </c>
      <c r="Z144" s="4">
        <v>0.29120000839233401</v>
      </c>
      <c r="AA144" s="4">
        <v>0</v>
      </c>
      <c r="AB144" s="4">
        <v>0</v>
      </c>
      <c r="AC144" s="4">
        <v>0.28440000534057619</v>
      </c>
      <c r="AD144" s="4">
        <v>0.44029998779296875</v>
      </c>
      <c r="AE144" s="4">
        <v>0.12609999656677245</v>
      </c>
      <c r="AF144" s="4">
        <v>3.930000066757202E-2</v>
      </c>
      <c r="AG144" s="4">
        <v>0</v>
      </c>
      <c r="AH144" s="4">
        <v>0</v>
      </c>
      <c r="AI144" s="4">
        <v>0</v>
      </c>
      <c r="AJ144" s="4">
        <v>4.1300001144409182E-2</v>
      </c>
      <c r="AK144" s="4">
        <v>6.8499999046325685E-2</v>
      </c>
      <c r="AL144" s="4">
        <v>0</v>
      </c>
      <c r="AM144" s="4">
        <v>0</v>
      </c>
      <c r="AN144" s="12">
        <v>2.0712299272418022E-2</v>
      </c>
      <c r="AO144" s="13">
        <v>46322</v>
      </c>
    </row>
    <row r="145" spans="1:41" x14ac:dyDescent="0.3">
      <c r="A145" s="3" t="s">
        <v>364</v>
      </c>
      <c r="B145" s="3" t="s">
        <v>365</v>
      </c>
      <c r="C145" s="4">
        <v>2.9000000953674318E-2</v>
      </c>
      <c r="D145" s="4">
        <v>8.939999580383301E-2</v>
      </c>
      <c r="E145" s="4">
        <v>1.599999964237213E-3</v>
      </c>
      <c r="G145" s="5">
        <v>71</v>
      </c>
      <c r="H145" s="5">
        <v>5.8400001525878906</v>
      </c>
      <c r="I145" s="5">
        <v>-9.9999997764825821E-3</v>
      </c>
      <c r="J145" s="5">
        <v>14.479999542236328</v>
      </c>
      <c r="K145" s="5">
        <v>1.4</v>
      </c>
      <c r="L145" s="6">
        <v>580</v>
      </c>
      <c r="M145" s="7" t="s">
        <v>366</v>
      </c>
      <c r="N145" s="6">
        <v>2014</v>
      </c>
      <c r="O145" s="3" t="s">
        <v>367</v>
      </c>
      <c r="P145" s="4">
        <v>0.99290000915527343</v>
      </c>
      <c r="Q145" s="4">
        <v>2.199999988079071E-3</v>
      </c>
      <c r="R145" s="8">
        <v>3</v>
      </c>
      <c r="S145" s="5">
        <v>-3.3900001049041748</v>
      </c>
      <c r="T145" s="5">
        <v>0.87999999523162842</v>
      </c>
      <c r="U145" s="10">
        <v>81</v>
      </c>
      <c r="V145" s="9">
        <v>98</v>
      </c>
      <c r="W145" s="14">
        <v>-0.2684000015258789</v>
      </c>
      <c r="X145" s="4">
        <v>-0.27940000534057619</v>
      </c>
      <c r="Y145" s="4">
        <v>1.940000057220459E-2</v>
      </c>
      <c r="Z145" s="4">
        <v>0.97720001220703123</v>
      </c>
      <c r="AA145" s="4">
        <v>0</v>
      </c>
      <c r="AB145" s="4">
        <v>3.4999999403953551E-3</v>
      </c>
      <c r="AC145" s="4">
        <v>0.15930000305175782</v>
      </c>
      <c r="AD145" s="4">
        <v>5.0999999046325684E-2</v>
      </c>
      <c r="AE145" s="4">
        <v>0.11899999618530273</v>
      </c>
      <c r="AF145" s="4">
        <v>2.9200000762939451E-2</v>
      </c>
      <c r="AG145" s="4">
        <v>4.639999866485596E-2</v>
      </c>
      <c r="AH145" s="4">
        <v>5.820000171661377E-2</v>
      </c>
      <c r="AI145" s="4">
        <v>1.599999964237213E-3</v>
      </c>
      <c r="AJ145" s="4">
        <v>0.15300000190734864</v>
      </c>
      <c r="AK145" s="4">
        <v>0.3725</v>
      </c>
      <c r="AL145" s="4">
        <v>5.6000000238418581E-3</v>
      </c>
      <c r="AM145" s="4">
        <v>4.0000000596046451E-3</v>
      </c>
      <c r="AN145" s="12">
        <v>0</v>
      </c>
      <c r="AO145" s="13">
        <v>46322</v>
      </c>
    </row>
    <row r="146" spans="1:41" x14ac:dyDescent="0.3">
      <c r="A146" s="3" t="s">
        <v>453</v>
      </c>
      <c r="B146" s="3" t="s">
        <v>454</v>
      </c>
      <c r="C146" s="4">
        <v>5.7500000000000002E-2</v>
      </c>
      <c r="D146" s="4">
        <v>5.9400000572204591E-2</v>
      </c>
      <c r="E146" s="4">
        <v>7.9999998211860652E-4</v>
      </c>
      <c r="F146" s="4">
        <v>7.5500001907348638E-2</v>
      </c>
      <c r="G146" s="5">
        <v>78</v>
      </c>
      <c r="H146" s="5">
        <v>11.479999542236328</v>
      </c>
      <c r="I146" s="5">
        <v>-7.9999998211860657E-2</v>
      </c>
      <c r="J146" s="5">
        <v>15.539999961853027</v>
      </c>
      <c r="K146" s="5">
        <v>1.1000000000000001</v>
      </c>
      <c r="L146" s="6">
        <v>795</v>
      </c>
      <c r="M146" s="7" t="s">
        <v>455</v>
      </c>
      <c r="N146" s="6">
        <v>2014</v>
      </c>
      <c r="O146" s="3" t="s">
        <v>456</v>
      </c>
      <c r="P146" s="4">
        <v>0.81129997253417974</v>
      </c>
      <c r="Q146" s="4">
        <v>1.309999942779541E-2</v>
      </c>
      <c r="R146" s="8">
        <v>2</v>
      </c>
      <c r="S146" s="5">
        <v>-6.7199997901916504</v>
      </c>
      <c r="T146" s="5">
        <v>0.88999998569488525</v>
      </c>
      <c r="U146" s="10">
        <v>67</v>
      </c>
      <c r="V146" s="10">
        <v>108</v>
      </c>
      <c r="W146" s="14">
        <v>-0.11079999923706055</v>
      </c>
      <c r="X146" s="4">
        <v>-0.12920000076293944</v>
      </c>
      <c r="Y146" s="4">
        <v>2.5899999141693116E-2</v>
      </c>
      <c r="Z146" s="4">
        <v>0</v>
      </c>
      <c r="AA146" s="4">
        <v>0.51970001220703121</v>
      </c>
      <c r="AB146" s="4">
        <v>0.45439998626708983</v>
      </c>
      <c r="AC146" s="4">
        <v>0.29889999389648436</v>
      </c>
      <c r="AD146" s="4">
        <v>3.509999990463257E-2</v>
      </c>
      <c r="AE146" s="4">
        <v>0.14800000190734863</v>
      </c>
      <c r="AF146" s="4">
        <v>6.4899997711181642E-2</v>
      </c>
      <c r="AG146" s="4">
        <v>0.18790000915527344</v>
      </c>
      <c r="AH146" s="4">
        <v>3.8099999427795413E-2</v>
      </c>
      <c r="AI146" s="4">
        <v>0</v>
      </c>
      <c r="AJ146" s="4">
        <v>0.16040000915527344</v>
      </c>
      <c r="AK146" s="4">
        <v>6.6599998474121097E-2</v>
      </c>
      <c r="AL146" s="4">
        <v>0</v>
      </c>
      <c r="AM146" s="4">
        <v>0</v>
      </c>
      <c r="AN146" s="12">
        <v>0</v>
      </c>
      <c r="AO146" s="13">
        <v>46322</v>
      </c>
    </row>
    <row r="147" spans="1:41" x14ac:dyDescent="0.3">
      <c r="A147" s="3" t="s">
        <v>231</v>
      </c>
      <c r="B147" s="3" t="s">
        <v>84</v>
      </c>
      <c r="C147" s="4">
        <v>0.20309999465942383</v>
      </c>
      <c r="D147" s="4">
        <v>0.20739999771118164</v>
      </c>
      <c r="G147" s="5">
        <v>90</v>
      </c>
      <c r="H147" s="5">
        <v>4.2899999618530273</v>
      </c>
      <c r="I147" s="5">
        <v>1.2599999904632568</v>
      </c>
      <c r="J147" s="5">
        <v>12.710000038146973</v>
      </c>
      <c r="K147" s="5">
        <v>1.42</v>
      </c>
      <c r="L147" s="6">
        <v>30</v>
      </c>
      <c r="M147" s="7" t="s">
        <v>232</v>
      </c>
      <c r="N147" s="6">
        <v>2022</v>
      </c>
      <c r="O147" s="3" t="s">
        <v>233</v>
      </c>
      <c r="P147" s="4">
        <v>0.96220001220703122</v>
      </c>
      <c r="Q147" s="4">
        <v>0</v>
      </c>
      <c r="R147" s="8">
        <v>5</v>
      </c>
      <c r="S147" s="5">
        <v>7.9000000953674316</v>
      </c>
      <c r="T147" s="5">
        <v>1.1599999666213989</v>
      </c>
      <c r="U147" s="9">
        <v>162</v>
      </c>
      <c r="V147" s="10">
        <v>108</v>
      </c>
      <c r="W147" s="11">
        <v>-0.11680000305175781</v>
      </c>
      <c r="X147" s="4">
        <v>-5.0300002098083496E-2</v>
      </c>
      <c r="Y147" s="4">
        <v>0.24770000457763672</v>
      </c>
      <c r="Z147" s="4">
        <v>0.6665000152587891</v>
      </c>
      <c r="AA147" s="4">
        <v>0</v>
      </c>
      <c r="AB147" s="4">
        <v>8.5799999237060554E-2</v>
      </c>
      <c r="AC147" s="4">
        <v>7.0399999618530273E-2</v>
      </c>
      <c r="AD147" s="4">
        <v>0</v>
      </c>
      <c r="AE147" s="4">
        <v>0.18569999694824219</v>
      </c>
      <c r="AF147" s="4">
        <v>0.2281999969482422</v>
      </c>
      <c r="AG147" s="4">
        <v>0</v>
      </c>
      <c r="AH147" s="4">
        <v>0</v>
      </c>
      <c r="AI147" s="4">
        <v>0.17350000381469727</v>
      </c>
      <c r="AJ147" s="4">
        <v>0.26360000610351564</v>
      </c>
      <c r="AK147" s="4">
        <v>0.03</v>
      </c>
      <c r="AL147" s="4">
        <v>4.8800001144409182E-2</v>
      </c>
      <c r="AM147" s="4">
        <v>0</v>
      </c>
      <c r="AN147" s="12">
        <v>0</v>
      </c>
      <c r="AO147" s="13">
        <v>46322</v>
      </c>
    </row>
    <row r="148" spans="1:41" x14ac:dyDescent="0.3">
      <c r="A148" s="3" t="s">
        <v>525</v>
      </c>
      <c r="B148" s="3" t="s">
        <v>510</v>
      </c>
      <c r="C148" s="4">
        <v>6.1199998855590819E-2</v>
      </c>
      <c r="D148" s="4">
        <v>0.11220000267028808</v>
      </c>
      <c r="G148" s="5">
        <v>79</v>
      </c>
      <c r="H148" s="5">
        <v>15.829999923706055</v>
      </c>
      <c r="I148" s="5">
        <v>0.73000001907348633</v>
      </c>
      <c r="J148" s="5">
        <v>9.9799995422363281</v>
      </c>
      <c r="K148" s="5">
        <v>1.8</v>
      </c>
      <c r="L148" s="6">
        <v>390</v>
      </c>
      <c r="M148" s="7" t="s">
        <v>526</v>
      </c>
      <c r="N148" s="6">
        <v>2012</v>
      </c>
      <c r="O148" s="3" t="s">
        <v>527</v>
      </c>
      <c r="P148" s="4">
        <v>0.94269996643066412</v>
      </c>
      <c r="Q148" s="4">
        <v>7.5399999618530278E-2</v>
      </c>
      <c r="R148" s="8">
        <v>0</v>
      </c>
      <c r="S148" s="5">
        <v>0</v>
      </c>
      <c r="T148" s="5">
        <v>0</v>
      </c>
      <c r="U148" s="10">
        <v>0</v>
      </c>
      <c r="V148" s="9">
        <v>0</v>
      </c>
      <c r="W148" s="4">
        <v>-0.10829999923706055</v>
      </c>
      <c r="X148" s="4">
        <v>0</v>
      </c>
      <c r="Y148" s="4">
        <v>0.2175</v>
      </c>
      <c r="Z148" s="4">
        <v>0.78249999999999997</v>
      </c>
      <c r="AA148" s="4">
        <v>0</v>
      </c>
      <c r="AB148" s="4">
        <v>0</v>
      </c>
      <c r="AC148" s="4">
        <v>0.25940000534057617</v>
      </c>
      <c r="AD148" s="4">
        <v>6.8000000715255741E-3</v>
      </c>
      <c r="AE148" s="4">
        <v>0.13039999961853027</v>
      </c>
      <c r="AF148" s="4">
        <v>7.7300000190734866E-2</v>
      </c>
      <c r="AG148" s="4">
        <v>2.4000000953674317E-2</v>
      </c>
      <c r="AH148" s="4">
        <v>5.7800002098083496E-2</v>
      </c>
      <c r="AI148" s="4">
        <v>0.15170000076293946</v>
      </c>
      <c r="AJ148" s="4">
        <v>0.11270000457763672</v>
      </c>
      <c r="AK148" s="4">
        <v>0.12949999809265136</v>
      </c>
      <c r="AL148" s="4">
        <v>0</v>
      </c>
      <c r="AM148" s="4">
        <v>5.0399999618530276E-2</v>
      </c>
      <c r="AN148" s="12">
        <v>0</v>
      </c>
      <c r="AO148" s="13">
        <v>46322</v>
      </c>
    </row>
    <row r="149" spans="1:41" x14ac:dyDescent="0.3">
      <c r="A149" s="3" t="s">
        <v>238</v>
      </c>
      <c r="B149" s="3" t="s">
        <v>84</v>
      </c>
      <c r="C149" s="4">
        <v>6.4999997615814206E-3</v>
      </c>
      <c r="D149" s="4">
        <v>0.10090000152587891</v>
      </c>
      <c r="G149" s="5">
        <v>83</v>
      </c>
      <c r="H149" s="5">
        <v>6.4499998092651367</v>
      </c>
      <c r="I149" s="5">
        <v>0.74000000953674316</v>
      </c>
      <c r="J149" s="5">
        <v>8.9600000381469727</v>
      </c>
      <c r="K149" s="5">
        <v>1.66</v>
      </c>
      <c r="L149" s="6">
        <v>10</v>
      </c>
      <c r="M149" s="7" t="s">
        <v>239</v>
      </c>
      <c r="N149" s="6">
        <v>2023</v>
      </c>
      <c r="O149" s="3" t="s">
        <v>240</v>
      </c>
      <c r="P149" s="4">
        <v>1</v>
      </c>
      <c r="Q149" s="4">
        <v>0</v>
      </c>
      <c r="R149" s="8">
        <v>3</v>
      </c>
      <c r="S149" s="5">
        <v>1.6100000143051147</v>
      </c>
      <c r="T149" s="5">
        <v>0.56999999284744263</v>
      </c>
      <c r="U149" s="10">
        <v>61</v>
      </c>
      <c r="V149" s="9">
        <v>38</v>
      </c>
      <c r="W149" s="14">
        <v>-7.6500000953674319E-2</v>
      </c>
      <c r="X149" s="4">
        <v>-0.11140000343322753</v>
      </c>
      <c r="Y149" s="4">
        <v>5.4000002145767213E-3</v>
      </c>
      <c r="Z149" s="4">
        <v>0.45250000000000001</v>
      </c>
      <c r="AA149" s="4">
        <v>0.27600000381469725</v>
      </c>
      <c r="AB149" s="4">
        <v>0.26610000610351564</v>
      </c>
      <c r="AC149" s="4">
        <v>1.2899999618530273E-2</v>
      </c>
      <c r="AD149" s="4">
        <v>7.0500001907348633E-2</v>
      </c>
      <c r="AE149" s="4">
        <v>0.15149999618530274</v>
      </c>
      <c r="AF149" s="4">
        <v>0</v>
      </c>
      <c r="AG149" s="4">
        <v>2.309999942779541E-2</v>
      </c>
      <c r="AH149" s="4">
        <v>0.12819999694824219</v>
      </c>
      <c r="AI149" s="4">
        <v>3.3900001049041749E-2</v>
      </c>
      <c r="AJ149" s="4">
        <v>0.40450000762939453</v>
      </c>
      <c r="AK149" s="4">
        <v>0.1340999984741211</v>
      </c>
      <c r="AL149" s="4">
        <v>0</v>
      </c>
      <c r="AM149" s="4">
        <v>4.1300001144409182E-2</v>
      </c>
      <c r="AN149" s="12">
        <v>0</v>
      </c>
      <c r="AO149" s="13">
        <v>46322</v>
      </c>
    </row>
    <row r="150" spans="1:41" x14ac:dyDescent="0.3">
      <c r="A150" s="3" t="s">
        <v>228</v>
      </c>
      <c r="B150" s="3" t="s">
        <v>58</v>
      </c>
      <c r="C150" s="4">
        <v>0.24510000228881837</v>
      </c>
      <c r="D150" s="4">
        <v>0.22739999771118163</v>
      </c>
      <c r="G150" s="5">
        <v>69</v>
      </c>
      <c r="H150" s="5">
        <v>14.899999618530273</v>
      </c>
      <c r="I150" s="5">
        <v>1.1399999856948853</v>
      </c>
      <c r="J150" s="5">
        <v>13.289999961853027</v>
      </c>
      <c r="K150" s="5">
        <v>1.17</v>
      </c>
      <c r="L150" s="6">
        <v>27</v>
      </c>
      <c r="M150" s="7" t="s">
        <v>229</v>
      </c>
      <c r="N150" s="6">
        <v>2022</v>
      </c>
      <c r="O150" s="3" t="s">
        <v>230</v>
      </c>
      <c r="P150" s="4">
        <v>0.93180000305175781</v>
      </c>
      <c r="Q150" s="4">
        <v>2.8999999165534975E-3</v>
      </c>
      <c r="R150" s="8">
        <v>5</v>
      </c>
      <c r="S150" s="5">
        <v>2.2400000095367432</v>
      </c>
      <c r="T150" s="5">
        <v>1.0900000333786011</v>
      </c>
      <c r="U150" s="9">
        <v>126</v>
      </c>
      <c r="V150" s="10">
        <v>138</v>
      </c>
      <c r="W150" s="14">
        <v>-7.3099999427795409E-2</v>
      </c>
      <c r="X150" s="4">
        <v>-7.8000001907348626E-2</v>
      </c>
      <c r="Y150" s="4">
        <v>0.50709999084472657</v>
      </c>
      <c r="Z150" s="4">
        <v>0.36689998626708986</v>
      </c>
      <c r="AA150" s="4">
        <v>9.6300001144409175E-2</v>
      </c>
      <c r="AB150" s="4">
        <v>2.9800000190734862E-2</v>
      </c>
      <c r="AC150" s="4">
        <v>0.24629999160766602</v>
      </c>
      <c r="AD150" s="4">
        <v>0.30639999389648437</v>
      </c>
      <c r="AE150" s="4">
        <v>7.5799999237060545E-2</v>
      </c>
      <c r="AF150" s="4">
        <v>3.3099999427795408E-2</v>
      </c>
      <c r="AG150" s="4">
        <v>0.13350000381469726</v>
      </c>
      <c r="AH150" s="4">
        <v>3.6700000762939451E-2</v>
      </c>
      <c r="AI150" s="4">
        <v>2.8499999046325684E-2</v>
      </c>
      <c r="AJ150" s="4">
        <v>2.9600000381469725E-2</v>
      </c>
      <c r="AK150" s="4">
        <v>0.11020000457763672</v>
      </c>
      <c r="AL150" s="4">
        <v>0</v>
      </c>
      <c r="AM150" s="4">
        <v>0</v>
      </c>
      <c r="AN150" s="12">
        <v>0</v>
      </c>
      <c r="AO150" s="13">
        <v>46322</v>
      </c>
    </row>
    <row r="151" spans="1:41" x14ac:dyDescent="0.3">
      <c r="A151" s="3" t="s">
        <v>234</v>
      </c>
      <c r="B151" s="3" t="s">
        <v>235</v>
      </c>
      <c r="C151" s="4">
        <v>2.0399999618530274E-2</v>
      </c>
      <c r="D151" s="4">
        <v>0.16110000610351563</v>
      </c>
      <c r="G151" s="5">
        <v>67</v>
      </c>
      <c r="H151" s="5">
        <v>12.609999656677246</v>
      </c>
      <c r="I151" s="5">
        <v>1.1000000238418579</v>
      </c>
      <c r="J151" s="5">
        <v>12.180000305175781</v>
      </c>
      <c r="K151" s="5">
        <v>1.1399999999999999</v>
      </c>
      <c r="L151" s="6">
        <v>9</v>
      </c>
      <c r="M151" s="7" t="s">
        <v>236</v>
      </c>
      <c r="N151" s="6">
        <v>2023</v>
      </c>
      <c r="O151" s="3" t="s">
        <v>237</v>
      </c>
      <c r="P151" s="4">
        <v>0.71599998474121096</v>
      </c>
      <c r="Q151" s="4">
        <v>0.17959999084472655</v>
      </c>
      <c r="R151" s="8">
        <v>5</v>
      </c>
      <c r="S151" s="5">
        <v>4.2100000381469727</v>
      </c>
      <c r="T151" s="5">
        <v>1.3200000524520874</v>
      </c>
      <c r="U151" s="9">
        <v>138</v>
      </c>
      <c r="V151" s="9">
        <v>91</v>
      </c>
      <c r="W151" s="4">
        <v>0</v>
      </c>
      <c r="X151" s="4">
        <v>0</v>
      </c>
      <c r="Y151" s="4">
        <v>0.60490001678466798</v>
      </c>
      <c r="Z151" s="4">
        <v>0.19040000915527344</v>
      </c>
      <c r="AA151" s="4">
        <v>6.9099998474121099E-2</v>
      </c>
      <c r="AB151" s="4">
        <v>0.13579999923706054</v>
      </c>
      <c r="AC151" s="4">
        <v>0.22309999465942382</v>
      </c>
      <c r="AD151" s="4">
        <v>0.23</v>
      </c>
      <c r="AE151" s="4">
        <v>5.7100000381469729E-2</v>
      </c>
      <c r="AF151" s="4">
        <v>3.9900000095367434E-2</v>
      </c>
      <c r="AG151" s="4">
        <v>0.10760000228881836</v>
      </c>
      <c r="AH151" s="4">
        <v>0.13840000152587892</v>
      </c>
      <c r="AI151" s="4">
        <v>1.9600000381469727E-2</v>
      </c>
      <c r="AJ151" s="4">
        <v>0.11199999809265136</v>
      </c>
      <c r="AK151" s="4">
        <v>3.9600000381469727E-2</v>
      </c>
      <c r="AL151" s="4">
        <v>0</v>
      </c>
      <c r="AM151" s="4">
        <v>3.2799999713897708E-2</v>
      </c>
      <c r="AN151" s="12">
        <v>0</v>
      </c>
      <c r="AO151" s="13">
        <v>46322</v>
      </c>
    </row>
    <row r="152" spans="1:41" x14ac:dyDescent="0.3">
      <c r="A152" s="3" t="s">
        <v>505</v>
      </c>
      <c r="B152" s="3" t="s">
        <v>506</v>
      </c>
      <c r="C152" s="4">
        <v>1.9999999552965163E-4</v>
      </c>
      <c r="D152" s="4">
        <v>9.8500003814697271E-2</v>
      </c>
      <c r="G152" s="5">
        <v>16</v>
      </c>
      <c r="H152" s="5">
        <v>0</v>
      </c>
      <c r="I152" s="5">
        <v>1.2899999618530273</v>
      </c>
      <c r="J152" s="5">
        <v>4.8600001335144043</v>
      </c>
      <c r="K152" s="5">
        <v>0.7</v>
      </c>
      <c r="L152" s="6">
        <v>7000</v>
      </c>
      <c r="M152" s="7" t="s">
        <v>507</v>
      </c>
      <c r="N152" s="6">
        <v>2021</v>
      </c>
      <c r="O152" s="3" t="s">
        <v>508</v>
      </c>
      <c r="P152" s="4">
        <v>0</v>
      </c>
      <c r="Q152" s="4">
        <v>1.1780999755859376</v>
      </c>
      <c r="R152" s="8">
        <v>5</v>
      </c>
      <c r="S152" s="5">
        <v>5.7300000190734863</v>
      </c>
      <c r="T152" s="5">
        <v>0.87000000476837158</v>
      </c>
      <c r="U152" s="9">
        <v>128</v>
      </c>
      <c r="V152" s="9">
        <v>37</v>
      </c>
      <c r="W152" s="14">
        <v>-2.8099999427795411E-2</v>
      </c>
      <c r="X152" s="4">
        <v>-4.1399998664855955E-2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  <c r="AM152" s="4">
        <v>0</v>
      </c>
      <c r="AN152" s="12">
        <v>0</v>
      </c>
      <c r="AO152" s="13">
        <v>46322</v>
      </c>
    </row>
  </sheetData>
  <conditionalFormatting sqref="C2:C152">
    <cfRule type="expression" dxfId="311" priority="1">
      <formula>$C2&gt;=0.15</formula>
    </cfRule>
    <cfRule type="expression" dxfId="310" priority="2">
      <formula>AND($C2&gt;=0.1,$C2&lt;0.15)</formula>
    </cfRule>
    <cfRule type="expression" dxfId="309" priority="3">
      <formula>AND($C2&gt;=0.05,$C2&lt;0.1)</formula>
    </cfRule>
    <cfRule type="expression" dxfId="308" priority="4">
      <formula>AND(ISNUMBER($C2),$C2&gt;=0,$C2&lt;0.05)</formula>
    </cfRule>
    <cfRule type="expression" dxfId="307" priority="5">
      <formula>AND($C2&lt;0,$C2&gt;=-0.05)</formula>
    </cfRule>
    <cfRule type="expression" dxfId="306" priority="6">
      <formula>$C2&lt;-0.05</formula>
    </cfRule>
  </conditionalFormatting>
  <conditionalFormatting sqref="D2:D152">
    <cfRule type="expression" dxfId="305" priority="7">
      <formula>$D2&gt;=0.15</formula>
    </cfRule>
    <cfRule type="expression" dxfId="304" priority="8">
      <formula>AND($D2&gt;=0.1,$D2&lt;0.15)</formula>
    </cfRule>
    <cfRule type="expression" dxfId="303" priority="9">
      <formula>AND($D2&gt;=0.05,$D2&lt;0.1)</formula>
    </cfRule>
    <cfRule type="expression" dxfId="302" priority="10">
      <formula>AND(ISNUMBER($D2),$D2&gt;=0,$D2&lt;0.05)</formula>
    </cfRule>
    <cfRule type="expression" dxfId="301" priority="11">
      <formula>AND($D2&lt;0,$D2&gt;=-0.05)</formula>
    </cfRule>
    <cfRule type="expression" dxfId="300" priority="12">
      <formula>$D2&lt;-0.05</formula>
    </cfRule>
  </conditionalFormatting>
  <conditionalFormatting sqref="E2:E152">
    <cfRule type="expression" dxfId="299" priority="13">
      <formula>$E2&gt;=0.15</formula>
    </cfRule>
    <cfRule type="expression" dxfId="298" priority="14">
      <formula>AND($E2&gt;=0.1,$E2&lt;0.15)</formula>
    </cfRule>
    <cfRule type="expression" dxfId="297" priority="15">
      <formula>AND($E2&gt;=0.05,$E2&lt;0.1)</formula>
    </cfRule>
    <cfRule type="expression" dxfId="296" priority="16">
      <formula>AND(ISNUMBER($E2),$E2&gt;=0,$E2&lt;0.05)</formula>
    </cfRule>
    <cfRule type="expression" dxfId="295" priority="17">
      <formula>AND($E2&lt;0,$E2&gt;=-0.05)</formula>
    </cfRule>
    <cfRule type="expression" dxfId="294" priority="18">
      <formula>$E2&lt;-0.05</formula>
    </cfRule>
  </conditionalFormatting>
  <conditionalFormatting sqref="F2:F152">
    <cfRule type="expression" dxfId="293" priority="19">
      <formula>$F2&gt;=0.15</formula>
    </cfRule>
    <cfRule type="expression" dxfId="292" priority="20">
      <formula>AND($F2&gt;=0.1,$F2&lt;0.15)</formula>
    </cfRule>
    <cfRule type="expression" dxfId="291" priority="21">
      <formula>AND($F2&gt;=0.05,$F2&lt;0.1)</formula>
    </cfRule>
    <cfRule type="expression" dxfId="290" priority="22">
      <formula>AND(ISNUMBER($F2),$F2&gt;=0,$F2&lt;0.05)</formula>
    </cfRule>
    <cfRule type="expression" dxfId="289" priority="23">
      <formula>AND($F2&lt;0,$F2&gt;=-0.05)</formula>
    </cfRule>
    <cfRule type="expression" dxfId="288" priority="24">
      <formula>$F2&lt;-0.05</formula>
    </cfRule>
  </conditionalFormatting>
  <conditionalFormatting sqref="B2:B152">
    <cfRule type="expression" dxfId="287" priority="25">
      <formula>OR(LEFT($B2,2)="RF",ISNUMBER(SEARCH("renta fija",$B2)))</formula>
    </cfRule>
    <cfRule type="expression" dxfId="286" priority="26">
      <formula>ISNUMBER(SEARCH("tecnolog",$B2))</formula>
    </cfRule>
    <cfRule type="expression" dxfId="285" priority="27">
      <formula>OR(ISNUMBER(SEARCH("mixto",$B2)),ISNUMBER(SEARCH("long",$B2)),ISNUMBER(SEARCH("alternativ",$B2)),ISNUMBER(SEARCH("neutral",$B2)),LEFT($B2,3)="Alt")</formula>
    </cfRule>
    <cfRule type="expression" dxfId="284" priority="28">
      <formula>OR(ISNUMBER(SEARCH("value",$B2)),ISNUMBER(SEARCH("valor",$B2)))</formula>
    </cfRule>
    <cfRule type="expression" dxfId="283" priority="29">
      <formula>OR(ISNUMBER(SEARCH("growth",$B2)),ISNUMBER(SEARCH("crecimiento",$B2)))</formula>
    </cfRule>
    <cfRule type="expression" dxfId="282" priority="30">
      <formula>ISNUMBER(SEARCH("dividend",$B2))</formula>
    </cfRule>
    <cfRule type="expression" dxfId="281" priority="31">
      <formula>OR(ISNUMBER(SEARCH("frontera",$B2)),ISNUMBER(SEARCH("emergent",$B2)),ISNUMBER(SEARCH("asia",$B2)),ISNUMBER(SEARCH("oriente",$B2)))</formula>
    </cfRule>
    <cfRule type="expression" dxfId="280" priority="32">
      <formula>OR(ISNUMBER(SEARCH("peque",$B2)),ISNUMBER(SEARCH("small",$B2)))</formula>
    </cfRule>
    <cfRule type="expression" dxfId="279" priority="33">
      <formula>LEN($B2)&gt;0</formula>
    </cfRule>
  </conditionalFormatting>
  <conditionalFormatting sqref="G2:G152">
    <cfRule type="expression" dxfId="278" priority="34">
      <formula>AND(ISNUMBER($G2),$G2&gt;0,$G2&lt;15)</formula>
    </cfRule>
    <cfRule type="expression" dxfId="277" priority="35">
      <formula>AND(ISNUMBER($G2),$G2&gt;=15,$G2&lt;30)</formula>
    </cfRule>
    <cfRule type="expression" dxfId="276" priority="36">
      <formula>AND(ISNUMBER($G2),$G2&gt;=30,$G2&lt;60)</formula>
    </cfRule>
    <cfRule type="expression" dxfId="275" priority="37">
      <formula>AND(ISNUMBER($G2),$G2&gt;=60,$G2&lt;85)</formula>
    </cfRule>
    <cfRule type="expression" dxfId="274" priority="38">
      <formula>AND(ISNUMBER($G2),$G2&gt;=85)</formula>
    </cfRule>
  </conditionalFormatting>
  <conditionalFormatting sqref="H2:H152">
    <cfRule type="expression" dxfId="273" priority="39">
      <formula>AND($H2&gt;0,$H2&lt;8)</formula>
    </cfRule>
    <cfRule type="expression" dxfId="272" priority="40">
      <formula>AND($H2&gt;=8,$H2&lt;12)</formula>
    </cfRule>
    <cfRule type="expression" dxfId="271" priority="41">
      <formula>AND($H2&gt;=12,$H2&lt;16)</formula>
    </cfRule>
    <cfRule type="expression" dxfId="270" priority="42">
      <formula>AND($H2&gt;=16,$H2&lt;=20)</formula>
    </cfRule>
    <cfRule type="expression" dxfId="269" priority="43">
      <formula>$H2&gt;20</formula>
    </cfRule>
  </conditionalFormatting>
  <conditionalFormatting sqref="J2:J152">
    <cfRule type="expression" dxfId="268" priority="44">
      <formula>$J2&gt;20</formula>
    </cfRule>
    <cfRule type="expression" dxfId="267" priority="45">
      <formula>AND($J2&gt;=12,$J2&lt;=20)</formula>
    </cfRule>
    <cfRule type="expression" dxfId="266" priority="46">
      <formula>AND($J2&gt;=7,$J2&lt;12)</formula>
    </cfRule>
    <cfRule type="expression" dxfId="265" priority="47">
      <formula>AND($J2&gt;=3,$J2&lt;7)</formula>
    </cfRule>
    <cfRule type="expression" dxfId="264" priority="48">
      <formula>AND($J2&gt;0,$J2&lt;3)</formula>
    </cfRule>
  </conditionalFormatting>
  <conditionalFormatting sqref="I2:I152">
    <cfRule type="expression" dxfId="263" priority="49">
      <formula>$I2&lt;0</formula>
    </cfRule>
    <cfRule type="expression" dxfId="262" priority="50">
      <formula>AND($I2&gt;0,$I2&lt;0.5)</formula>
    </cfRule>
    <cfRule type="expression" dxfId="261" priority="51">
      <formula>AND($I2&gt;=0.5,$I2&lt;1)</formula>
    </cfRule>
    <cfRule type="expression" dxfId="260" priority="52">
      <formula>AND($I2&gt;=1,$I2&lt;=2)</formula>
    </cfRule>
    <cfRule type="expression" dxfId="259" priority="53">
      <formula>$I2&gt;2</formula>
    </cfRule>
  </conditionalFormatting>
  <conditionalFormatting sqref="K2:K152">
    <cfRule type="expression" dxfId="258" priority="54">
      <formula>AND(ISNUMBER($K2),$K2&lt;1)</formula>
    </cfRule>
    <cfRule type="expression" dxfId="257" priority="55">
      <formula>AND(ISNUMBER($K2),$K2&gt;=1,$K2&lt;=1.5)</formula>
    </cfRule>
    <cfRule type="expression" dxfId="256" priority="56">
      <formula>AND(ISNUMBER($K2),$K2&gt;1.5,$K2&lt;=2)</formula>
    </cfRule>
    <cfRule type="expression" dxfId="255" priority="57">
      <formula>AND(ISNUMBER($K2),$K2&gt;2)</formula>
    </cfRule>
  </conditionalFormatting>
  <conditionalFormatting sqref="L2:L152">
    <cfRule type="expression" dxfId="254" priority="58">
      <formula>AND($L2&gt;0,$L2&lt;40)</formula>
    </cfRule>
    <cfRule type="expression" dxfId="253" priority="59">
      <formula>$L2&gt;10000</formula>
    </cfRule>
    <cfRule type="expression" dxfId="252" priority="60">
      <formula>AND($L2&gt;=40,$L2&lt;=10000)</formula>
    </cfRule>
  </conditionalFormatting>
  <conditionalFormatting sqref="P2:P152">
    <cfRule type="expression" dxfId="251" priority="61">
      <formula>AND(ISNUMBER($P2),$P2&gt;0.7)</formula>
    </cfRule>
    <cfRule type="expression" dxfId="250" priority="62">
      <formula>AND(ISNUMBER($P2),$P2&gt;0.4,$P2&lt;=0.7)</formula>
    </cfRule>
  </conditionalFormatting>
  <conditionalFormatting sqref="Q2:Q152">
    <cfRule type="expression" dxfId="249" priority="63">
      <formula>AND(ISNUMBER($Q2),$Q2&gt;0.7)</formula>
    </cfRule>
    <cfRule type="expression" dxfId="248" priority="64">
      <formula>AND(ISNUMBER($Q2),$Q2&gt;0.4,$Q2&lt;=0.7)</formula>
    </cfRule>
  </conditionalFormatting>
  <conditionalFormatting sqref="R2:R152">
    <cfRule type="expression" dxfId="247" priority="65">
      <formula>$R2=5</formula>
    </cfRule>
    <cfRule type="expression" dxfId="246" priority="66">
      <formula>$R2=4</formula>
    </cfRule>
    <cfRule type="expression" dxfId="245" priority="67">
      <formula>$R2=3</formula>
    </cfRule>
    <cfRule type="expression" dxfId="244" priority="68">
      <formula>$R2=2</formula>
    </cfRule>
    <cfRule type="expression" dxfId="243" priority="69">
      <formula>$R2=1</formula>
    </cfRule>
  </conditionalFormatting>
  <conditionalFormatting sqref="S2:S152">
    <cfRule type="expression" dxfId="242" priority="70">
      <formula>AND(ISNUMBER($S2),$S2&gt;5)</formula>
    </cfRule>
    <cfRule type="expression" dxfId="241" priority="71">
      <formula>AND(ISNUMBER($S2),$S2&gt;=2,$S2&lt;=5)</formula>
    </cfRule>
    <cfRule type="expression" dxfId="240" priority="72">
      <formula>AND(ISNUMBER($S2),$S2&gt;0,$S2&lt;2)</formula>
    </cfRule>
    <cfRule type="expression" dxfId="239" priority="73">
      <formula>AND(ISNUMBER($S2),$S2&lt;0,$S2&gt;=-3)</formula>
    </cfRule>
    <cfRule type="expression" dxfId="238" priority="74">
      <formula>AND(ISNUMBER($S2),$S2&lt;-3)</formula>
    </cfRule>
  </conditionalFormatting>
  <conditionalFormatting sqref="AC2:AC152">
    <cfRule type="expression" dxfId="237" priority="75">
      <formula>AND(ISNUMBER($AC2),$AC2&gt;0.6)</formula>
    </cfRule>
    <cfRule type="expression" dxfId="236" priority="76">
      <formula>AND(ISNUMBER($AC2),$AC2&gt;=0.2,$AC2&lt;=0.6)</formula>
    </cfRule>
  </conditionalFormatting>
  <conditionalFormatting sqref="AD2:AD152">
    <cfRule type="expression" dxfId="235" priority="77">
      <formula>AND(ISNUMBER($AD2),$AD2&gt;0.6)</formula>
    </cfRule>
    <cfRule type="expression" dxfId="234" priority="78">
      <formula>AND(ISNUMBER($AD2),$AD2&gt;=0.2,$AD2&lt;=0.6)</formula>
    </cfRule>
  </conditionalFormatting>
  <conditionalFormatting sqref="AE2:AE152">
    <cfRule type="expression" dxfId="233" priority="79">
      <formula>AND(ISNUMBER($AE2),$AE2&gt;0.6)</formula>
    </cfRule>
    <cfRule type="expression" dxfId="232" priority="80">
      <formula>AND(ISNUMBER($AE2),$AE2&gt;=0.2,$AE2&lt;=0.6)</formula>
    </cfRule>
  </conditionalFormatting>
  <conditionalFormatting sqref="AF2:AF152">
    <cfRule type="expression" dxfId="231" priority="81">
      <formula>AND(ISNUMBER($AF2),$AF2&gt;0.6)</formula>
    </cfRule>
    <cfRule type="expression" dxfId="230" priority="82">
      <formula>AND(ISNUMBER($AF2),$AF2&gt;=0.2,$AF2&lt;=0.6)</formula>
    </cfRule>
  </conditionalFormatting>
  <conditionalFormatting sqref="AG2:AG152">
    <cfRule type="expression" dxfId="229" priority="83">
      <formula>AND(ISNUMBER($AG2),$AG2&gt;0.6)</formula>
    </cfRule>
    <cfRule type="expression" dxfId="228" priority="84">
      <formula>AND(ISNUMBER($AG2),$AG2&gt;=0.2,$AG2&lt;=0.6)</formula>
    </cfRule>
  </conditionalFormatting>
  <conditionalFormatting sqref="AH2:AH152">
    <cfRule type="expression" dxfId="227" priority="85">
      <formula>AND(ISNUMBER($AH2),$AH2&gt;0.6)</formula>
    </cfRule>
    <cfRule type="expression" dxfId="226" priority="86">
      <formula>AND(ISNUMBER($AH2),$AH2&gt;=0.2,$AH2&lt;=0.6)</formula>
    </cfRule>
  </conditionalFormatting>
  <conditionalFormatting sqref="AI2:AI152">
    <cfRule type="expression" dxfId="225" priority="87">
      <formula>AND(ISNUMBER($AI2),$AI2&gt;0.6)</formula>
    </cfRule>
    <cfRule type="expression" dxfId="224" priority="88">
      <formula>AND(ISNUMBER($AI2),$AI2&gt;=0.2,$AI2&lt;=0.6)</formula>
    </cfRule>
  </conditionalFormatting>
  <conditionalFormatting sqref="AJ2:AJ152">
    <cfRule type="expression" dxfId="223" priority="89">
      <formula>AND(ISNUMBER($AJ2),$AJ2&gt;0.6)</formula>
    </cfRule>
    <cfRule type="expression" dxfId="222" priority="90">
      <formula>AND(ISNUMBER($AJ2),$AJ2&gt;=0.2,$AJ2&lt;=0.6)</formula>
    </cfRule>
  </conditionalFormatting>
  <conditionalFormatting sqref="AK2:AK152">
    <cfRule type="expression" dxfId="221" priority="91">
      <formula>AND(ISNUMBER($AK2),$AK2&gt;0.6)</formula>
    </cfRule>
    <cfRule type="expression" dxfId="220" priority="92">
      <formula>AND(ISNUMBER($AK2),$AK2&gt;=0.2,$AK2&lt;=0.6)</formula>
    </cfRule>
  </conditionalFormatting>
  <conditionalFormatting sqref="AL2:AL152">
    <cfRule type="expression" dxfId="219" priority="93">
      <formula>AND(ISNUMBER($AL2),$AL2&gt;0.6)</formula>
    </cfRule>
    <cfRule type="expression" dxfId="218" priority="94">
      <formula>AND(ISNUMBER($AL2),$AL2&gt;=0.2,$AL2&lt;=0.6)</formula>
    </cfRule>
  </conditionalFormatting>
  <conditionalFormatting sqref="AM2:AM152">
    <cfRule type="expression" dxfId="217" priority="95">
      <formula>AND(ISNUMBER($AM2),$AM2&gt;0.6)</formula>
    </cfRule>
    <cfRule type="expression" dxfId="216" priority="96">
      <formula>AND(ISNUMBER($AM2),$AM2&gt;=0.2,$AM2&lt;=0.6)</formula>
    </cfRule>
  </conditionalFormatting>
  <conditionalFormatting sqref="AN2:AN152">
    <cfRule type="expression" dxfId="215" priority="97">
      <formula>AND(ISNUMBER($AN2),$AN2=0)</formula>
    </cfRule>
    <cfRule type="expression" dxfId="214" priority="98">
      <formula>AND(ISNUMBER($AN2),$AN2&gt;0,$AN2&lt;0.1)</formula>
    </cfRule>
    <cfRule type="expression" dxfId="213" priority="99">
      <formula>AND(ISNUMBER($AN2),$AN2&gt;=0.1)</formula>
    </cfRule>
  </conditionalFormatting>
  <conditionalFormatting sqref="AO2:AO152">
    <cfRule type="expression" dxfId="212" priority="100">
      <formula>AND(ISNUMBER($AO2),$AO2&gt;=EDATE(TODAY(),-1))</formula>
    </cfRule>
    <cfRule type="expression" dxfId="211" priority="101">
      <formula>AND(ISNUMBER($AO2),$AO2&lt;EDATE(TODAY(),-1))</formula>
    </cfRule>
  </conditionalFormatting>
  <pageMargins left="0.7" right="0.7" top="0.75" bottom="0.75" header="0.3" footer="0.3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155"/>
  <sheetViews>
    <sheetView workbookViewId="0">
      <selection activeCell="E12" sqref="E12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529</v>
      </c>
    </row>
    <row r="2" spans="1:67" x14ac:dyDescent="0.3">
      <c r="A2" s="26" t="s">
        <v>530</v>
      </c>
    </row>
    <row r="4" spans="1:67" x14ac:dyDescent="0.3">
      <c r="A4" s="1" t="s">
        <v>531</v>
      </c>
      <c r="B4" s="1" t="s">
        <v>5</v>
      </c>
      <c r="C4" s="136" t="s">
        <v>532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94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61</v>
      </c>
      <c r="C5" s="12">
        <v>1</v>
      </c>
      <c r="D5" s="5">
        <f t="shared" ref="D5:D44" si="0">IF(AND(ISNUMBER($B5),ISNUMBER($C5)),$B5*$C5,"")</f>
        <v>61</v>
      </c>
      <c r="F5" s="28" t="s">
        <v>536</v>
      </c>
      <c r="G5" s="29">
        <f>IFERROR(SUM($D$5:$D$44)/SUMPRODUCT(--ISNUMBER($B$5:$B$44),$C$5:$C$44),"")</f>
        <v>61</v>
      </c>
      <c r="M5" t="s">
        <v>384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0.17780000686645508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0.20499999999999999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0.11350000381469727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0.12579999923706053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61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17.909999847412109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0.51999998092651367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13.310000419616699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0.2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0.14000000059604645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1.0199999809265137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99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101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-0.12479999542236328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-7.9600000381469721E-2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0.97790000915527342</v>
      </c>
      <c r="AD5" t="str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/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4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0.76400001525878902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0.14880000114440917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8.1899995803833003E-2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5.199999809265137E-3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0.31209999084472656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9.7399997711181643E-2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0.15689999580383301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8.1599998474121097E-2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2.9500000476837158E-2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5.059999942779541E-2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4.4299998283386231E-2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8.619999885559082E-2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0.10249999999999999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1.590000033378601E-2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2.309999942779541E-2</v>
      </c>
      <c r="BI5" t="s">
        <v>384</v>
      </c>
      <c r="BJ5" t="s">
        <v>386</v>
      </c>
      <c r="BK5" t="s">
        <v>576</v>
      </c>
      <c r="BL5" t="str">
        <f t="shared" ref="BL5:BL44" si="1">IF($A5="","",IFERROR(INDEX($BK$5:$BK$155,MATCH($A5,$BI$5:$BI$155,0))&amp;"",IFERROR(INDEX($BK$5:$BK$155,MATCH($A5,$BJ$5:$BJ$155,0))&amp;"","")))</f>
        <v>F00000SCLE</v>
      </c>
      <c r="BM5">
        <f t="shared" ref="BM5:BM44" si="2">IF(AND(LEN($BL5)&gt;0,ISNUMBER($C5),$C5&gt;0),ROUND($C5/SUMPRODUCT(--(LEN($BL$5:$BL$44)&gt;0),$C$5:$C$44)*10000,0),"")</f>
        <v>10000</v>
      </c>
      <c r="BN5" t="str">
        <f>IF(AND(LEN($BL5)&gt;0,ISNUMBER($C5),$C5&gt;0),$BL5&amp;"%7C","")</f>
        <v>F00000SCLE%7C</v>
      </c>
      <c r="BO5" t="str">
        <f>IF(AND(LEN($BL5)&gt;0,ISNUMBER($C5),$C5&gt;0),$BM5&amp;"%7C","")</f>
        <v>10000%7C</v>
      </c>
    </row>
    <row r="6" spans="1:67" x14ac:dyDescent="0.3">
      <c r="A6" s="3"/>
      <c r="B6" s="5" t="str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/>
      </c>
      <c r="C6" s="137"/>
      <c r="D6" s="5" t="str">
        <f t="shared" si="0"/>
        <v/>
      </c>
      <c r="F6" s="30" t="s">
        <v>537</v>
      </c>
      <c r="G6" s="31">
        <f>SUM($C$5:$C$44)</f>
        <v>1</v>
      </c>
      <c r="M6" t="s">
        <v>460</v>
      </c>
      <c r="N6" t="str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/>
      </c>
      <c r="O6" t="str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/>
      </c>
      <c r="P6" t="str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/>
      </c>
      <c r="Q6" t="str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/>
      </c>
      <c r="R6" t="str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/>
      </c>
      <c r="S6" t="str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/>
      </c>
      <c r="T6" t="str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/>
      </c>
      <c r="U6" t="str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/>
      </c>
      <c r="V6" t="str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/>
      </c>
      <c r="W6" t="str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/>
      </c>
      <c r="X6" t="str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/>
      </c>
      <c r="Y6" t="str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/>
      </c>
      <c r="Z6" t="str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/>
      </c>
      <c r="AA6" t="str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/>
      </c>
      <c r="AB6" t="str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/>
      </c>
      <c r="AC6" t="str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/>
      </c>
      <c r="AD6" t="str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/>
      </c>
      <c r="AE6" t="str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/>
      </c>
      <c r="AF6" t="str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/>
      </c>
      <c r="AG6" t="str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/>
      </c>
      <c r="AH6" t="str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/>
      </c>
      <c r="AI6" t="str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/>
      </c>
      <c r="AJ6" t="str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/>
      </c>
      <c r="AK6" t="str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/>
      </c>
      <c r="AL6" t="str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/>
      </c>
      <c r="AM6" t="str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/>
      </c>
      <c r="AN6" t="str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/>
      </c>
      <c r="AO6" t="str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/>
      </c>
      <c r="AP6" t="str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/>
      </c>
      <c r="AQ6" t="str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/>
      </c>
      <c r="AR6" t="str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/>
      </c>
      <c r="AS6" t="str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/>
      </c>
      <c r="AT6" t="str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/>
      </c>
      <c r="BI6" t="s">
        <v>460</v>
      </c>
      <c r="BJ6" t="s">
        <v>463</v>
      </c>
      <c r="BK6" t="s">
        <v>577</v>
      </c>
      <c r="BL6" t="str">
        <f t="shared" si="1"/>
        <v/>
      </c>
      <c r="BM6" t="str">
        <f t="shared" si="2"/>
        <v/>
      </c>
      <c r="BN6" t="str">
        <f t="shared" ref="BN6:BN44" si="3">$BN5&amp;IF(AND(LEN($BL6)&gt;0,ISNUMBER($C6),$C6&gt;0),$BL6&amp;"%7C","")</f>
        <v>F00000SCLE%7C</v>
      </c>
      <c r="BO6" t="str">
        <f t="shared" ref="BO6:BO44" si="4">$BO5&amp;IF(AND(LEN($BL6)&gt;0,ISNUMBER($C6),$C6&gt;0),$BM6&amp;"%7C","")</f>
        <v>10000%7C</v>
      </c>
    </row>
    <row r="7" spans="1:67" x14ac:dyDescent="0.3">
      <c r="A7" s="3"/>
      <c r="B7" s="5" t="str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/>
      </c>
      <c r="C7" s="12"/>
      <c r="D7" s="5" t="str">
        <f t="shared" si="0"/>
        <v/>
      </c>
      <c r="M7" t="s">
        <v>268</v>
      </c>
      <c r="N7" t="str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/>
      </c>
      <c r="O7" t="str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/>
      </c>
      <c r="P7" t="str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/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 t="str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/>
      </c>
      <c r="S7" t="str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/>
      </c>
      <c r="T7" t="str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/>
      </c>
      <c r="U7" t="str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/>
      </c>
      <c r="V7" t="str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/>
      </c>
      <c r="W7" t="str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/>
      </c>
      <c r="X7" t="str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/>
      </c>
      <c r="Y7" t="str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/>
      </c>
      <c r="Z7" t="str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/>
      </c>
      <c r="AA7" t="str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/>
      </c>
      <c r="AB7" t="str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/>
      </c>
      <c r="AC7" t="str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/>
      </c>
      <c r="AD7" t="str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/>
      </c>
      <c r="AE7" t="str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/>
      </c>
      <c r="AF7" t="str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/>
      </c>
      <c r="AG7" t="str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/>
      </c>
      <c r="AH7" t="str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/>
      </c>
      <c r="AI7" t="str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/>
      </c>
      <c r="AJ7" t="str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/>
      </c>
      <c r="AK7" t="str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/>
      </c>
      <c r="AL7" t="str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/>
      </c>
      <c r="AM7" t="str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/>
      </c>
      <c r="AN7" t="str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/>
      </c>
      <c r="AO7" t="str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/>
      </c>
      <c r="AP7" t="str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/>
      </c>
      <c r="AQ7" t="str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/>
      </c>
      <c r="AR7" t="str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/>
      </c>
      <c r="AS7" t="str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/>
      </c>
      <c r="AT7" t="str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/>
      </c>
      <c r="BI7" t="s">
        <v>268</v>
      </c>
      <c r="BJ7" t="s">
        <v>271</v>
      </c>
      <c r="BK7" t="s">
        <v>578</v>
      </c>
      <c r="BL7" t="str">
        <f t="shared" si="1"/>
        <v/>
      </c>
      <c r="BM7" t="str">
        <f t="shared" si="2"/>
        <v/>
      </c>
      <c r="BN7" t="str">
        <f t="shared" si="3"/>
        <v>F00000SCLE%7C</v>
      </c>
      <c r="BO7" t="str">
        <f t="shared" si="4"/>
        <v>10000%7C</v>
      </c>
    </row>
    <row r="8" spans="1:67" x14ac:dyDescent="0.3">
      <c r="A8" s="3"/>
      <c r="B8" s="5" t="str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/>
      </c>
      <c r="C8" s="12"/>
      <c r="D8" s="5" t="str">
        <f t="shared" si="0"/>
        <v/>
      </c>
      <c r="F8" s="27" t="s">
        <v>538</v>
      </c>
      <c r="M8" t="s">
        <v>319</v>
      </c>
      <c r="N8" t="str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/>
      </c>
      <c r="O8" t="str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/>
      </c>
      <c r="P8" t="str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/>
      </c>
      <c r="Q8" t="str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/>
      </c>
      <c r="R8" t="str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/>
      </c>
      <c r="S8" t="str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/>
      </c>
      <c r="T8" t="str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/>
      </c>
      <c r="U8" t="str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/>
      </c>
      <c r="V8" t="str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/>
      </c>
      <c r="W8" t="str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/>
      </c>
      <c r="X8" t="str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/>
      </c>
      <c r="Y8" t="str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/>
      </c>
      <c r="Z8" t="str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/>
      </c>
      <c r="AA8" t="str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/>
      </c>
      <c r="AB8" t="str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/>
      </c>
      <c r="AC8" t="str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/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 t="str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/>
      </c>
      <c r="AF8" t="str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/>
      </c>
      <c r="AG8" t="str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/>
      </c>
      <c r="AH8" t="str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/>
      </c>
      <c r="AI8" t="str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/>
      </c>
      <c r="AJ8" t="str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/>
      </c>
      <c r="AK8" t="str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/>
      </c>
      <c r="AL8" t="str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/>
      </c>
      <c r="AM8" t="str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/>
      </c>
      <c r="AN8" t="str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/>
      </c>
      <c r="AO8" t="str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/>
      </c>
      <c r="AP8" t="str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/>
      </c>
      <c r="AQ8" t="str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/>
      </c>
      <c r="AR8" t="str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/>
      </c>
      <c r="AS8" t="str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/>
      </c>
      <c r="AT8" t="str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/>
      </c>
      <c r="BI8" t="s">
        <v>319</v>
      </c>
      <c r="BJ8" t="s">
        <v>321</v>
      </c>
      <c r="BK8" t="s">
        <v>579</v>
      </c>
      <c r="BL8" t="str">
        <f t="shared" si="1"/>
        <v/>
      </c>
      <c r="BM8" t="str">
        <f t="shared" si="2"/>
        <v/>
      </c>
      <c r="BN8" t="str">
        <f t="shared" si="3"/>
        <v>F00000SCLE%7C</v>
      </c>
      <c r="BO8" t="str">
        <f t="shared" si="4"/>
        <v>10000%7C</v>
      </c>
    </row>
    <row r="9" spans="1:67" x14ac:dyDescent="0.3">
      <c r="A9" s="3"/>
      <c r="B9" s="5" t="str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/>
      </c>
      <c r="C9" s="12"/>
      <c r="D9" s="5" t="str">
        <f t="shared" si="0"/>
        <v/>
      </c>
      <c r="F9" s="26" t="s">
        <v>539</v>
      </c>
      <c r="M9" t="s">
        <v>315</v>
      </c>
      <c r="N9" t="str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/>
      </c>
      <c r="O9" t="str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/>
      </c>
      <c r="P9" t="str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/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 t="str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/>
      </c>
      <c r="S9" t="str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/>
      </c>
      <c r="T9" t="str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/>
      </c>
      <c r="U9" t="str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/>
      </c>
      <c r="V9" t="str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/>
      </c>
      <c r="W9" t="str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/>
      </c>
      <c r="X9" t="str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/>
      </c>
      <c r="Y9" t="str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/>
      </c>
      <c r="Z9" t="str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/>
      </c>
      <c r="AA9" t="str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/>
      </c>
      <c r="AB9" t="str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/>
      </c>
      <c r="AC9" t="str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/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 t="str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/>
      </c>
      <c r="AF9" t="str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/>
      </c>
      <c r="AG9" t="str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/>
      </c>
      <c r="AH9" t="str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/>
      </c>
      <c r="AI9" t="str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/>
      </c>
      <c r="AJ9" t="str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/>
      </c>
      <c r="AK9" t="str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/>
      </c>
      <c r="AL9" t="str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/>
      </c>
      <c r="AM9" t="str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/>
      </c>
      <c r="AN9" t="str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/>
      </c>
      <c r="AO9" t="str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/>
      </c>
      <c r="AP9" t="str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/>
      </c>
      <c r="AQ9" t="str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/>
      </c>
      <c r="AR9" t="str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/>
      </c>
      <c r="AS9" t="str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/>
      </c>
      <c r="AT9" t="str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/>
      </c>
      <c r="BI9" t="s">
        <v>315</v>
      </c>
      <c r="BJ9" t="s">
        <v>318</v>
      </c>
      <c r="BK9" t="s">
        <v>580</v>
      </c>
      <c r="BL9" t="str">
        <f t="shared" si="1"/>
        <v/>
      </c>
      <c r="BM9" t="str">
        <f t="shared" si="2"/>
        <v/>
      </c>
      <c r="BN9" t="str">
        <f t="shared" si="3"/>
        <v>F00000SCLE%7C</v>
      </c>
      <c r="BO9" t="str">
        <f t="shared" si="4"/>
        <v>10000%7C</v>
      </c>
    </row>
    <row r="10" spans="1:67" x14ac:dyDescent="0.3">
      <c r="A10" s="3"/>
      <c r="B10" s="5" t="str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/>
      </c>
      <c r="C10" s="12"/>
      <c r="D10" s="5" t="str">
        <f t="shared" si="0"/>
        <v/>
      </c>
      <c r="F10" s="26" t="s">
        <v>540</v>
      </c>
      <c r="M10" t="s">
        <v>97</v>
      </c>
      <c r="N10" t="str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/>
      </c>
      <c r="O10" t="str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/>
      </c>
      <c r="P10" t="str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/>
      </c>
      <c r="Q10" t="str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/>
      </c>
      <c r="R10" t="str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/>
      </c>
      <c r="S10" t="str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/>
      </c>
      <c r="T10" t="str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/>
      </c>
      <c r="U10" t="str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/>
      </c>
      <c r="V10" t="str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/>
      </c>
      <c r="W10" t="str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/>
      </c>
      <c r="X10" t="str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/>
      </c>
      <c r="Y10" t="str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/>
      </c>
      <c r="Z10" t="str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/>
      </c>
      <c r="AA10" t="str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/>
      </c>
      <c r="AB10" t="str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/>
      </c>
      <c r="AC10" t="str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/>
      </c>
      <c r="AD10" t="str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/>
      </c>
      <c r="AE10" t="str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/>
      </c>
      <c r="AF10" t="str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/>
      </c>
      <c r="AG10" t="str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/>
      </c>
      <c r="AH10" t="str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/>
      </c>
      <c r="AI10" t="str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/>
      </c>
      <c r="AJ10" t="str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/>
      </c>
      <c r="AK10" t="str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/>
      </c>
      <c r="AL10" t="str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/>
      </c>
      <c r="AM10" t="str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/>
      </c>
      <c r="AN10" t="str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/>
      </c>
      <c r="AO10" t="str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/>
      </c>
      <c r="AP10" t="str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/>
      </c>
      <c r="AQ10" t="str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/>
      </c>
      <c r="AR10" t="str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/>
      </c>
      <c r="AS10" t="str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/>
      </c>
      <c r="AT10" t="str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/>
      </c>
      <c r="BI10" t="s">
        <v>97</v>
      </c>
      <c r="BJ10" t="s">
        <v>99</v>
      </c>
      <c r="BK10" t="s">
        <v>581</v>
      </c>
      <c r="BL10" t="str">
        <f t="shared" si="1"/>
        <v/>
      </c>
      <c r="BM10" t="str">
        <f t="shared" si="2"/>
        <v/>
      </c>
      <c r="BN10" t="str">
        <f t="shared" si="3"/>
        <v>F00000SCLE%7C</v>
      </c>
      <c r="BO10" t="str">
        <f t="shared" si="4"/>
        <v>10000%7C</v>
      </c>
    </row>
    <row r="11" spans="1:67" x14ac:dyDescent="0.3">
      <c r="A11" s="3"/>
      <c r="B11" s="5" t="str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/>
      </c>
      <c r="C11" s="12"/>
      <c r="D11" s="5" t="str">
        <f t="shared" si="0"/>
        <v/>
      </c>
      <c r="F11" s="26" t="s">
        <v>541</v>
      </c>
      <c r="M11" t="s">
        <v>438</v>
      </c>
      <c r="N11" t="str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/>
      </c>
      <c r="O11" t="str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/>
      </c>
      <c r="P11" t="str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/>
      </c>
      <c r="Q11" t="str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/>
      </c>
      <c r="R11" t="str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/>
      </c>
      <c r="S11" t="str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/>
      </c>
      <c r="T11" t="str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/>
      </c>
      <c r="U11" t="str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/>
      </c>
      <c r="V11" t="str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/>
      </c>
      <c r="W11" t="str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/>
      </c>
      <c r="X11" t="str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/>
      </c>
      <c r="Y11" t="str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/>
      </c>
      <c r="Z11" t="str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/>
      </c>
      <c r="AA11" t="str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/>
      </c>
      <c r="AB11" t="str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/>
      </c>
      <c r="AC11" t="str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/>
      </c>
      <c r="AD11" t="str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/>
      </c>
      <c r="AE11" t="str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/>
      </c>
      <c r="AF11" t="str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/>
      </c>
      <c r="AG11" t="str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/>
      </c>
      <c r="AH11" t="str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/>
      </c>
      <c r="AI11" t="str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/>
      </c>
      <c r="AJ11" t="str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/>
      </c>
      <c r="AK11" t="str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/>
      </c>
      <c r="AL11" t="str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/>
      </c>
      <c r="AM11" t="str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/>
      </c>
      <c r="AN11" t="str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/>
      </c>
      <c r="AO11" t="str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/>
      </c>
      <c r="AP11" t="str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/>
      </c>
      <c r="AQ11" t="str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/>
      </c>
      <c r="AR11" t="str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/>
      </c>
      <c r="AS11" t="str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/>
      </c>
      <c r="AT11" t="str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/>
      </c>
      <c r="BI11" t="s">
        <v>438</v>
      </c>
      <c r="BJ11" t="s">
        <v>440</v>
      </c>
      <c r="BK11" t="s">
        <v>582</v>
      </c>
      <c r="BL11" t="str">
        <f t="shared" si="1"/>
        <v/>
      </c>
      <c r="BM11" t="str">
        <f t="shared" si="2"/>
        <v/>
      </c>
      <c r="BN11" t="str">
        <f t="shared" si="3"/>
        <v>F00000SCLE%7C</v>
      </c>
      <c r="BO11" t="str">
        <f t="shared" si="4"/>
        <v>10000%7C</v>
      </c>
    </row>
    <row r="12" spans="1:67" x14ac:dyDescent="0.3">
      <c r="A12" s="3"/>
      <c r="B12" s="5" t="str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/>
      </c>
      <c r="C12" s="12"/>
      <c r="D12" s="5" t="str">
        <f t="shared" si="0"/>
        <v/>
      </c>
      <c r="F12" s="26" t="s">
        <v>542</v>
      </c>
      <c r="M12" t="s">
        <v>94</v>
      </c>
      <c r="N12" t="str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/>
      </c>
      <c r="O12" t="str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/>
      </c>
      <c r="P12" t="str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/>
      </c>
      <c r="Q12" t="str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/>
      </c>
      <c r="R12" t="str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/>
      </c>
      <c r="S12" t="str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/>
      </c>
      <c r="T12" t="str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/>
      </c>
      <c r="U12" t="str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/>
      </c>
      <c r="V12" t="str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/>
      </c>
      <c r="W12" t="str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/>
      </c>
      <c r="X12" t="str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/>
      </c>
      <c r="Y12" t="str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/>
      </c>
      <c r="Z12" t="str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/>
      </c>
      <c r="AA12" t="str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/>
      </c>
      <c r="AB12" t="str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/>
      </c>
      <c r="AC12" t="str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/>
      </c>
      <c r="AD12" t="str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/>
      </c>
      <c r="AE12" t="str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/>
      </c>
      <c r="AF12" t="str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/>
      </c>
      <c r="AG12" t="str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/>
      </c>
      <c r="AH12" t="str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/>
      </c>
      <c r="AI12" t="str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/>
      </c>
      <c r="AJ12" t="str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/>
      </c>
      <c r="AK12" t="str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/>
      </c>
      <c r="AL12" t="str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/>
      </c>
      <c r="AM12" t="str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/>
      </c>
      <c r="AN12" t="str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/>
      </c>
      <c r="AO12" t="str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/>
      </c>
      <c r="AP12" t="str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/>
      </c>
      <c r="AQ12" t="str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/>
      </c>
      <c r="AR12" t="str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/>
      </c>
      <c r="AS12" t="str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/>
      </c>
      <c r="AT12" t="str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/>
      </c>
      <c r="BI12" t="s">
        <v>94</v>
      </c>
      <c r="BJ12" t="s">
        <v>96</v>
      </c>
      <c r="BK12" t="s">
        <v>583</v>
      </c>
      <c r="BL12" t="str">
        <f t="shared" si="1"/>
        <v/>
      </c>
      <c r="BM12" t="str">
        <f t="shared" si="2"/>
        <v/>
      </c>
      <c r="BN12" t="str">
        <f t="shared" si="3"/>
        <v>F00000SCLE%7C</v>
      </c>
      <c r="BO12" t="str">
        <f t="shared" si="4"/>
        <v>10000%7C</v>
      </c>
    </row>
    <row r="13" spans="1:67" x14ac:dyDescent="0.3">
      <c r="A13" s="3"/>
      <c r="B13" s="5" t="str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/>
      </c>
      <c r="C13" s="12"/>
      <c r="D13" s="5" t="str">
        <f t="shared" si="0"/>
        <v/>
      </c>
      <c r="M13" t="s">
        <v>285</v>
      </c>
      <c r="N13" t="str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/>
      </c>
      <c r="O13" t="str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/>
      </c>
      <c r="P13" t="str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/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 t="str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/>
      </c>
      <c r="S13" t="str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/>
      </c>
      <c r="T13" t="str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/>
      </c>
      <c r="U13" t="str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/>
      </c>
      <c r="V13" t="str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/>
      </c>
      <c r="W13" t="str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/>
      </c>
      <c r="X13" t="str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/>
      </c>
      <c r="Y13" t="str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/>
      </c>
      <c r="Z13" t="str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/>
      </c>
      <c r="AA13" t="str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/>
      </c>
      <c r="AB13" t="str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/>
      </c>
      <c r="AC13" t="str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/>
      </c>
      <c r="AD13" t="str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/>
      </c>
      <c r="AE13" t="str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/>
      </c>
      <c r="AF13" t="str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/>
      </c>
      <c r="AG13" t="str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/>
      </c>
      <c r="AH13" t="str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/>
      </c>
      <c r="AI13" t="str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/>
      </c>
      <c r="AJ13" t="str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/>
      </c>
      <c r="AK13" t="str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/>
      </c>
      <c r="AL13" t="str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/>
      </c>
      <c r="AM13" t="str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/>
      </c>
      <c r="AN13" t="str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/>
      </c>
      <c r="AO13" t="str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/>
      </c>
      <c r="AP13" t="str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/>
      </c>
      <c r="AQ13" t="str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/>
      </c>
      <c r="AR13" t="str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/>
      </c>
      <c r="AS13" t="str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/>
      </c>
      <c r="AT13" t="str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/>
      </c>
      <c r="BI13" t="s">
        <v>285</v>
      </c>
      <c r="BJ13" t="s">
        <v>287</v>
      </c>
      <c r="BK13" t="s">
        <v>584</v>
      </c>
      <c r="BL13" t="str">
        <f t="shared" si="1"/>
        <v/>
      </c>
      <c r="BM13" t="str">
        <f t="shared" si="2"/>
        <v/>
      </c>
      <c r="BN13" t="str">
        <f t="shared" si="3"/>
        <v>F00000SCLE%7C</v>
      </c>
      <c r="BO13" t="str">
        <f t="shared" si="4"/>
        <v>10000%7C</v>
      </c>
    </row>
    <row r="14" spans="1:67" x14ac:dyDescent="0.3">
      <c r="A14" s="3"/>
      <c r="B14" s="5" t="str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/>
      </c>
      <c r="C14" s="12"/>
      <c r="D14" s="5" t="str">
        <f t="shared" si="0"/>
        <v/>
      </c>
      <c r="F14" s="2" t="s">
        <v>543</v>
      </c>
      <c r="G14" s="2" t="s">
        <v>535</v>
      </c>
      <c r="M14" t="s">
        <v>513</v>
      </c>
      <c r="N14" t="str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/>
      </c>
      <c r="O14" t="str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/>
      </c>
      <c r="P14" t="str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/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 t="str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/>
      </c>
      <c r="S14" t="str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/>
      </c>
      <c r="T14" t="str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/>
      </c>
      <c r="U14" t="str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/>
      </c>
      <c r="V14" t="str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/>
      </c>
      <c r="W14" t="str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/>
      </c>
      <c r="X14" t="str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/>
      </c>
      <c r="Y14" t="str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/>
      </c>
      <c r="Z14" t="str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/>
      </c>
      <c r="AA14" t="str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/>
      </c>
      <c r="AB14" t="str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/>
      </c>
      <c r="AC14" t="str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/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 t="str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/>
      </c>
      <c r="AF14" t="str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/>
      </c>
      <c r="AG14" t="str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/>
      </c>
      <c r="AH14" t="str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/>
      </c>
      <c r="AI14" t="str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/>
      </c>
      <c r="AJ14" t="str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/>
      </c>
      <c r="AK14" t="str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/>
      </c>
      <c r="AL14" t="str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/>
      </c>
      <c r="AM14" t="str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/>
      </c>
      <c r="AN14" t="str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/>
      </c>
      <c r="AO14" t="str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/>
      </c>
      <c r="AP14" t="str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/>
      </c>
      <c r="AQ14" t="str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/>
      </c>
      <c r="AR14" t="str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/>
      </c>
      <c r="AS14" t="str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/>
      </c>
      <c r="AT14" t="str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/>
      </c>
      <c r="BI14" t="s">
        <v>513</v>
      </c>
      <c r="BJ14" t="s">
        <v>514</v>
      </c>
      <c r="BK14" t="s">
        <v>585</v>
      </c>
      <c r="BL14" t="str">
        <f t="shared" si="1"/>
        <v/>
      </c>
      <c r="BM14" t="str">
        <f t="shared" si="2"/>
        <v/>
      </c>
      <c r="BN14" t="str">
        <f t="shared" si="3"/>
        <v>F00000SCLE%7C</v>
      </c>
      <c r="BO14" t="str">
        <f t="shared" si="4"/>
        <v>10000%7C</v>
      </c>
    </row>
    <row r="15" spans="1:67" ht="18" customHeight="1" x14ac:dyDescent="0.3">
      <c r="A15" s="3"/>
      <c r="B15" s="5" t="str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/>
      </c>
      <c r="C15" s="12"/>
      <c r="D15" s="5" t="str">
        <f t="shared" si="0"/>
        <v/>
      </c>
      <c r="F15" s="28" t="s">
        <v>544</v>
      </c>
      <c r="G15" s="32">
        <f>IF(ISNUMBER($G$5),0.03+MIN(100,MAX(0,$G$5))/100*(0.13-0.03),"")</f>
        <v>9.0999999999999998E-2</v>
      </c>
      <c r="M15" t="s">
        <v>322</v>
      </c>
      <c r="N15" t="str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/>
      </c>
      <c r="O15" t="str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/>
      </c>
      <c r="P15" t="str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/>
      </c>
      <c r="Q15" t="str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/>
      </c>
      <c r="R15" t="str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/>
      </c>
      <c r="S15" t="str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/>
      </c>
      <c r="T15" t="str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/>
      </c>
      <c r="U15" t="str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/>
      </c>
      <c r="V15" t="str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/>
      </c>
      <c r="W15" t="str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/>
      </c>
      <c r="X15" t="str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/>
      </c>
      <c r="Y15" t="str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/>
      </c>
      <c r="Z15" t="str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/>
      </c>
      <c r="AA15" t="str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/>
      </c>
      <c r="AB15" t="str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/>
      </c>
      <c r="AC15" t="str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/>
      </c>
      <c r="AD15" t="str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/>
      </c>
      <c r="AE15" t="str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/>
      </c>
      <c r="AF15" t="str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/>
      </c>
      <c r="AG15" t="str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/>
      </c>
      <c r="AH15" t="str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/>
      </c>
      <c r="AI15" t="str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/>
      </c>
      <c r="AJ15" t="str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/>
      </c>
      <c r="AK15" t="str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/>
      </c>
      <c r="AL15" t="str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/>
      </c>
      <c r="AM15" t="str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/>
      </c>
      <c r="AN15" t="str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/>
      </c>
      <c r="AO15" t="str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/>
      </c>
      <c r="AP15" t="str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/>
      </c>
      <c r="AQ15" t="str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/>
      </c>
      <c r="AR15" t="str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/>
      </c>
      <c r="AS15" t="str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/>
      </c>
      <c r="AT15" t="str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/>
      </c>
      <c r="BI15" t="s">
        <v>322</v>
      </c>
      <c r="BJ15" t="s">
        <v>325</v>
      </c>
      <c r="BK15" t="s">
        <v>586</v>
      </c>
      <c r="BL15" t="str">
        <f t="shared" si="1"/>
        <v/>
      </c>
      <c r="BM15" t="str">
        <f t="shared" si="2"/>
        <v/>
      </c>
      <c r="BN15" t="str">
        <f t="shared" si="3"/>
        <v>F00000SCLE%7C</v>
      </c>
      <c r="BO15" t="str">
        <f t="shared" si="4"/>
        <v>10000%7C</v>
      </c>
    </row>
    <row r="16" spans="1:67" ht="18" customHeight="1" x14ac:dyDescent="0.3">
      <c r="A16" s="3"/>
      <c r="B16" s="5"/>
      <c r="C16" s="12"/>
      <c r="D16" s="5" t="str">
        <f t="shared" si="0"/>
        <v/>
      </c>
      <c r="F16" s="33" t="s">
        <v>545</v>
      </c>
      <c r="G16" s="34">
        <f>IF(ISNUMBER($G$5),0+MIN(100,MAX(0,$G$5))/100*(0.5-0),"")</f>
        <v>0.30499999999999999</v>
      </c>
      <c r="M16" t="s">
        <v>422</v>
      </c>
      <c r="N16" t="str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/>
      </c>
      <c r="O16" t="str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/>
      </c>
      <c r="P16" t="str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/>
      </c>
      <c r="Q16" t="str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/>
      </c>
      <c r="R16" t="str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/>
      </c>
      <c r="S16" t="str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/>
      </c>
      <c r="T16" t="str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/>
      </c>
      <c r="U16" t="str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/>
      </c>
      <c r="V16" t="str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/>
      </c>
      <c r="W16" t="str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/>
      </c>
      <c r="X16" t="str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/>
      </c>
      <c r="Y16" t="str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/>
      </c>
      <c r="Z16" t="str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/>
      </c>
      <c r="AA16" t="str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/>
      </c>
      <c r="AB16" t="str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/>
      </c>
      <c r="AC16" t="str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/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 t="str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/>
      </c>
      <c r="AF16" t="str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/>
      </c>
      <c r="AG16" t="str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/>
      </c>
      <c r="AH16" t="str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/>
      </c>
      <c r="AI16" t="str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/>
      </c>
      <c r="AJ16" t="str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/>
      </c>
      <c r="AK16" t="str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/>
      </c>
      <c r="AL16" t="str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/>
      </c>
      <c r="AM16" t="str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/>
      </c>
      <c r="AN16" t="str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/>
      </c>
      <c r="AO16" t="str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/>
      </c>
      <c r="AP16" t="str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/>
      </c>
      <c r="AQ16" t="str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/>
      </c>
      <c r="AR16" t="str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/>
      </c>
      <c r="AS16" t="str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/>
      </c>
      <c r="AT16" t="str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/>
      </c>
      <c r="BI16" t="s">
        <v>422</v>
      </c>
      <c r="BJ16" t="s">
        <v>424</v>
      </c>
      <c r="BK16" t="s">
        <v>587</v>
      </c>
      <c r="BL16" t="str">
        <f t="shared" si="1"/>
        <v/>
      </c>
      <c r="BM16" t="str">
        <f t="shared" si="2"/>
        <v/>
      </c>
      <c r="BN16" t="str">
        <f t="shared" si="3"/>
        <v>F00000SCLE%7C</v>
      </c>
      <c r="BO16" t="str">
        <f t="shared" si="4"/>
        <v>10000%7C</v>
      </c>
    </row>
    <row r="17" spans="1:67" x14ac:dyDescent="0.3">
      <c r="A17" s="3"/>
      <c r="B17" s="5" t="str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/>
      </c>
      <c r="C17" s="12"/>
      <c r="D17" s="5" t="str">
        <f t="shared" si="0"/>
        <v/>
      </c>
      <c r="M17" t="s">
        <v>61</v>
      </c>
      <c r="N17" t="str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/>
      </c>
      <c r="O17" t="str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/>
      </c>
      <c r="P17" t="str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/>
      </c>
      <c r="Q17" t="str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/>
      </c>
      <c r="R17" t="str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/>
      </c>
      <c r="S17" t="str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/>
      </c>
      <c r="T17" t="str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/>
      </c>
      <c r="U17" t="str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/>
      </c>
      <c r="V17" t="str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/>
      </c>
      <c r="W17" t="str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/>
      </c>
      <c r="X17" t="str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/>
      </c>
      <c r="Y17" t="str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/>
      </c>
      <c r="Z17" t="str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/>
      </c>
      <c r="AA17" t="str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/>
      </c>
      <c r="AB17" t="str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/>
      </c>
      <c r="AC17" t="str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/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 t="str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/>
      </c>
      <c r="AF17" t="str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/>
      </c>
      <c r="AG17" t="str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/>
      </c>
      <c r="AH17" t="str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/>
      </c>
      <c r="AI17" t="str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/>
      </c>
      <c r="AJ17" t="str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/>
      </c>
      <c r="AK17" t="str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/>
      </c>
      <c r="AL17" t="str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/>
      </c>
      <c r="AM17" t="str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/>
      </c>
      <c r="AN17" t="str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/>
      </c>
      <c r="AO17" t="str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/>
      </c>
      <c r="AP17" t="str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/>
      </c>
      <c r="AQ17" t="str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/>
      </c>
      <c r="AR17" t="str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/>
      </c>
      <c r="AS17" t="str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/>
      </c>
      <c r="AT17" t="str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/>
      </c>
      <c r="BI17" t="s">
        <v>61</v>
      </c>
      <c r="BJ17" t="s">
        <v>63</v>
      </c>
      <c r="BK17" t="s">
        <v>588</v>
      </c>
      <c r="BL17" t="str">
        <f t="shared" si="1"/>
        <v/>
      </c>
      <c r="BM17" t="str">
        <f t="shared" si="2"/>
        <v/>
      </c>
      <c r="BN17" t="str">
        <f t="shared" si="3"/>
        <v>F00000SCLE%7C</v>
      </c>
      <c r="BO17" t="str">
        <f t="shared" si="4"/>
        <v>10000%7C</v>
      </c>
    </row>
    <row r="18" spans="1:67" x14ac:dyDescent="0.3">
      <c r="A18" s="3"/>
      <c r="B18" s="5" t="str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/>
      </c>
      <c r="C18" s="12"/>
      <c r="D18" s="5" t="str">
        <f t="shared" si="0"/>
        <v/>
      </c>
      <c r="F18" s="27" t="s">
        <v>538</v>
      </c>
      <c r="M18" t="s">
        <v>238</v>
      </c>
      <c r="N18" t="str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/>
      </c>
      <c r="O18" t="str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/>
      </c>
      <c r="P18" t="str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/>
      </c>
      <c r="Q18" t="str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/>
      </c>
      <c r="R18" t="str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/>
      </c>
      <c r="S18" t="str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/>
      </c>
      <c r="T18" t="str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/>
      </c>
      <c r="U18" t="str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/>
      </c>
      <c r="V18" t="str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/>
      </c>
      <c r="W18" t="str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/>
      </c>
      <c r="X18" t="str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/>
      </c>
      <c r="Y18" t="str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/>
      </c>
      <c r="Z18" t="str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/>
      </c>
      <c r="AA18" t="str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/>
      </c>
      <c r="AB18" t="str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/>
      </c>
      <c r="AC18" t="str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/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 t="str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/>
      </c>
      <c r="AF18" t="str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/>
      </c>
      <c r="AG18" t="str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/>
      </c>
      <c r="AH18" t="str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/>
      </c>
      <c r="AI18" t="str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/>
      </c>
      <c r="AJ18" t="str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/>
      </c>
      <c r="AK18" t="str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/>
      </c>
      <c r="AL18" t="str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/>
      </c>
      <c r="AM18" t="str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/>
      </c>
      <c r="AN18" t="str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/>
      </c>
      <c r="AO18" t="str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/>
      </c>
      <c r="AP18" t="str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/>
      </c>
      <c r="AQ18" t="str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/>
      </c>
      <c r="AR18" t="str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/>
      </c>
      <c r="AS18" t="str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/>
      </c>
      <c r="AT18" t="str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/>
      </c>
      <c r="BI18" t="s">
        <v>238</v>
      </c>
      <c r="BJ18" t="s">
        <v>240</v>
      </c>
      <c r="BK18" t="s">
        <v>589</v>
      </c>
      <c r="BL18" t="str">
        <f t="shared" si="1"/>
        <v/>
      </c>
      <c r="BM18" t="str">
        <f t="shared" si="2"/>
        <v/>
      </c>
      <c r="BN18" t="str">
        <f t="shared" si="3"/>
        <v>F00000SCLE%7C</v>
      </c>
      <c r="BO18" t="str">
        <f t="shared" si="4"/>
        <v>10000%7C</v>
      </c>
    </row>
    <row r="19" spans="1:67" x14ac:dyDescent="0.3">
      <c r="A19" s="3"/>
      <c r="B19" s="5" t="str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/>
      </c>
      <c r="C19" s="12"/>
      <c r="D19" s="5" t="str">
        <f t="shared" si="0"/>
        <v/>
      </c>
      <c r="F19" s="26" t="s">
        <v>546</v>
      </c>
      <c r="M19" t="s">
        <v>118</v>
      </c>
      <c r="N19" t="str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/>
      </c>
      <c r="O19" t="str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/>
      </c>
      <c r="P19" t="str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/>
      </c>
      <c r="Q19" t="str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/>
      </c>
      <c r="R19" t="str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/>
      </c>
      <c r="S19" t="str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/>
      </c>
      <c r="T19" t="str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/>
      </c>
      <c r="U19" t="str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/>
      </c>
      <c r="V19" t="str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/>
      </c>
      <c r="W19" t="str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/>
      </c>
      <c r="X19" t="str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/>
      </c>
      <c r="Y19" t="str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/>
      </c>
      <c r="Z19" t="str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/>
      </c>
      <c r="AA19" t="str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/>
      </c>
      <c r="AB19" t="str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/>
      </c>
      <c r="AC19" t="str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/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 t="str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/>
      </c>
      <c r="AF19" t="str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/>
      </c>
      <c r="AG19" t="str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/>
      </c>
      <c r="AH19" t="str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/>
      </c>
      <c r="AI19" t="str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/>
      </c>
      <c r="AJ19" t="str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/>
      </c>
      <c r="AK19" t="str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/>
      </c>
      <c r="AL19" t="str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/>
      </c>
      <c r="AM19" t="str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/>
      </c>
      <c r="AN19" t="str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/>
      </c>
      <c r="AO19" t="str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/>
      </c>
      <c r="AP19" t="str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/>
      </c>
      <c r="AQ19" t="str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/>
      </c>
      <c r="AR19" t="str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/>
      </c>
      <c r="AS19" t="str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/>
      </c>
      <c r="AT19" t="str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/>
      </c>
      <c r="BI19" t="s">
        <v>118</v>
      </c>
      <c r="BJ19" t="s">
        <v>121</v>
      </c>
      <c r="BK19" t="s">
        <v>590</v>
      </c>
      <c r="BL19" t="str">
        <f t="shared" si="1"/>
        <v/>
      </c>
      <c r="BM19" t="str">
        <f t="shared" si="2"/>
        <v/>
      </c>
      <c r="BN19" t="str">
        <f t="shared" si="3"/>
        <v>F00000SCLE%7C</v>
      </c>
      <c r="BO19" t="str">
        <f t="shared" si="4"/>
        <v>10000%7C</v>
      </c>
    </row>
    <row r="20" spans="1:67" x14ac:dyDescent="0.3">
      <c r="A20" s="3"/>
      <c r="B20" s="5" t="str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/>
      </c>
      <c r="C20" s="12"/>
      <c r="D20" s="5" t="str">
        <f t="shared" si="0"/>
        <v/>
      </c>
      <c r="F20" s="26" t="s">
        <v>547</v>
      </c>
      <c r="M20" t="s">
        <v>241</v>
      </c>
      <c r="N20" t="str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/>
      </c>
      <c r="O20" t="str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/>
      </c>
      <c r="P20" t="str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/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 t="str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/>
      </c>
      <c r="S20" t="str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/>
      </c>
      <c r="T20" t="str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/>
      </c>
      <c r="U20" t="str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/>
      </c>
      <c r="V20" t="str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/>
      </c>
      <c r="W20" t="str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/>
      </c>
      <c r="X20" t="str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/>
      </c>
      <c r="Y20" t="str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/>
      </c>
      <c r="Z20" t="str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/>
      </c>
      <c r="AA20" t="str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/>
      </c>
      <c r="AB20" t="str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/>
      </c>
      <c r="AC20" t="str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/>
      </c>
      <c r="AD20" t="str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/>
      </c>
      <c r="AE20" t="str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/>
      </c>
      <c r="AF20" t="str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/>
      </c>
      <c r="AG20" t="str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/>
      </c>
      <c r="AH20" t="str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/>
      </c>
      <c r="AI20" t="str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/>
      </c>
      <c r="AJ20" t="str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/>
      </c>
      <c r="AK20" t="str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/>
      </c>
      <c r="AL20" t="str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/>
      </c>
      <c r="AM20" t="str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/>
      </c>
      <c r="AN20" t="str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/>
      </c>
      <c r="AO20" t="str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/>
      </c>
      <c r="AP20" t="str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/>
      </c>
      <c r="AQ20" t="str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/>
      </c>
      <c r="AR20" t="str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/>
      </c>
      <c r="AS20" t="str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/>
      </c>
      <c r="AT20" t="str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/>
      </c>
      <c r="BI20" t="s">
        <v>241</v>
      </c>
      <c r="BJ20" t="s">
        <v>244</v>
      </c>
      <c r="BK20" t="s">
        <v>591</v>
      </c>
      <c r="BL20" t="str">
        <f t="shared" si="1"/>
        <v/>
      </c>
      <c r="BM20" t="str">
        <f t="shared" si="2"/>
        <v/>
      </c>
      <c r="BN20" t="str">
        <f t="shared" si="3"/>
        <v>F00000SCLE%7C</v>
      </c>
      <c r="BO20" t="str">
        <f t="shared" si="4"/>
        <v>10000%7C</v>
      </c>
    </row>
    <row r="21" spans="1:67" x14ac:dyDescent="0.3">
      <c r="A21" s="3"/>
      <c r="B21" s="5" t="str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/>
      </c>
      <c r="C21" s="12"/>
      <c r="D21" s="5" t="str">
        <f t="shared" si="0"/>
        <v/>
      </c>
      <c r="F21" s="26" t="s">
        <v>548</v>
      </c>
      <c r="M21" t="s">
        <v>253</v>
      </c>
      <c r="N21" t="str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/>
      </c>
      <c r="O21" t="str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/>
      </c>
      <c r="P21" t="str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/>
      </c>
      <c r="Q21" t="str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/>
      </c>
      <c r="R21" t="str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/>
      </c>
      <c r="S21" t="str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/>
      </c>
      <c r="T21" t="str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/>
      </c>
      <c r="U21" t="str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/>
      </c>
      <c r="V21" t="str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/>
      </c>
      <c r="W21" t="str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/>
      </c>
      <c r="X21" t="str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/>
      </c>
      <c r="Y21" t="str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/>
      </c>
      <c r="Z21" t="str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/>
      </c>
      <c r="AA21" t="str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/>
      </c>
      <c r="AB21" t="str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/>
      </c>
      <c r="AC21" t="str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/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 t="str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/>
      </c>
      <c r="AF21" t="str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/>
      </c>
      <c r="AG21" t="str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/>
      </c>
      <c r="AH21" t="str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/>
      </c>
      <c r="AI21" t="str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/>
      </c>
      <c r="AJ21" t="str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/>
      </c>
      <c r="AK21" t="str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/>
      </c>
      <c r="AL21" t="str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/>
      </c>
      <c r="AM21" t="str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/>
      </c>
      <c r="AN21" t="str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/>
      </c>
      <c r="AO21" t="str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/>
      </c>
      <c r="AP21" t="str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/>
      </c>
      <c r="AQ21" t="str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/>
      </c>
      <c r="AR21" t="str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/>
      </c>
      <c r="AS21" t="str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/>
      </c>
      <c r="AT21" t="str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/>
      </c>
      <c r="BI21" t="s">
        <v>253</v>
      </c>
      <c r="BJ21" t="s">
        <v>256</v>
      </c>
      <c r="BK21" t="s">
        <v>592</v>
      </c>
      <c r="BL21" t="str">
        <f t="shared" si="1"/>
        <v/>
      </c>
      <c r="BM21" t="str">
        <f t="shared" si="2"/>
        <v/>
      </c>
      <c r="BN21" t="str">
        <f t="shared" si="3"/>
        <v>F00000SCLE%7C</v>
      </c>
      <c r="BO21" t="str">
        <f t="shared" si="4"/>
        <v>10000%7C</v>
      </c>
    </row>
    <row r="22" spans="1:67" x14ac:dyDescent="0.3">
      <c r="A22" s="3"/>
      <c r="B22" s="5" t="str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/>
      </c>
      <c r="C22" s="12"/>
      <c r="D22" s="5" t="str">
        <f t="shared" si="0"/>
        <v/>
      </c>
      <c r="F22" s="26" t="s">
        <v>549</v>
      </c>
      <c r="M22" t="s">
        <v>478</v>
      </c>
      <c r="N22" t="str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/>
      </c>
      <c r="O22" t="str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/>
      </c>
      <c r="P22" t="str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/>
      </c>
      <c r="Q22" t="str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/>
      </c>
      <c r="R22" t="str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/>
      </c>
      <c r="S22" t="str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/>
      </c>
      <c r="T22" t="str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/>
      </c>
      <c r="U22" t="str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/>
      </c>
      <c r="V22" t="str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/>
      </c>
      <c r="W22" t="str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/>
      </c>
      <c r="X22" t="str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/>
      </c>
      <c r="Y22" t="str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/>
      </c>
      <c r="Z22" t="str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/>
      </c>
      <c r="AA22" t="str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/>
      </c>
      <c r="AB22" t="str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/>
      </c>
      <c r="AC22" t="str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/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 t="str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/>
      </c>
      <c r="AF22" t="str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/>
      </c>
      <c r="AG22" t="str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/>
      </c>
      <c r="AH22" t="str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/>
      </c>
      <c r="AI22" t="str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/>
      </c>
      <c r="AJ22" t="str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/>
      </c>
      <c r="AK22" t="str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/>
      </c>
      <c r="AL22" t="str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/>
      </c>
      <c r="AM22" t="str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/>
      </c>
      <c r="AN22" t="str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/>
      </c>
      <c r="AO22" t="str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/>
      </c>
      <c r="AP22" t="str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/>
      </c>
      <c r="AQ22" t="str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/>
      </c>
      <c r="AR22" t="str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/>
      </c>
      <c r="AS22" t="str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/>
      </c>
      <c r="AT22" t="str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/>
      </c>
      <c r="BI22" t="s">
        <v>478</v>
      </c>
      <c r="BJ22" t="s">
        <v>480</v>
      </c>
      <c r="BK22" t="s">
        <v>593</v>
      </c>
      <c r="BL22" t="str">
        <f t="shared" si="1"/>
        <v/>
      </c>
      <c r="BM22" t="str">
        <f t="shared" si="2"/>
        <v/>
      </c>
      <c r="BN22" t="str">
        <f t="shared" si="3"/>
        <v>F00000SCLE%7C</v>
      </c>
      <c r="BO22" t="str">
        <f t="shared" si="4"/>
        <v>10000%7C</v>
      </c>
    </row>
    <row r="23" spans="1:67" x14ac:dyDescent="0.3">
      <c r="A23" s="3"/>
      <c r="B23" s="5" t="str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/>
      </c>
      <c r="C23" s="12"/>
      <c r="D23" s="5" t="str">
        <f t="shared" si="0"/>
        <v/>
      </c>
      <c r="F23" s="26" t="s">
        <v>550</v>
      </c>
      <c r="M23" t="s">
        <v>210</v>
      </c>
      <c r="N23" t="str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/>
      </c>
      <c r="O23" t="str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/>
      </c>
      <c r="P23" t="str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/>
      </c>
      <c r="Q23" t="str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/>
      </c>
      <c r="R23" t="str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/>
      </c>
      <c r="S23" t="str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/>
      </c>
      <c r="T23" t="str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/>
      </c>
      <c r="U23" t="str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/>
      </c>
      <c r="V23" t="str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/>
      </c>
      <c r="W23" t="str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/>
      </c>
      <c r="X23" t="str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/>
      </c>
      <c r="Y23" t="str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/>
      </c>
      <c r="Z23" t="str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/>
      </c>
      <c r="AA23" t="str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/>
      </c>
      <c r="AB23" t="str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/>
      </c>
      <c r="AC23" t="str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/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 t="str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/>
      </c>
      <c r="AF23" t="str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/>
      </c>
      <c r="AG23" t="str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/>
      </c>
      <c r="AH23" t="str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/>
      </c>
      <c r="AI23" t="str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/>
      </c>
      <c r="AJ23" t="str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/>
      </c>
      <c r="AK23" t="str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/>
      </c>
      <c r="AL23" t="str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/>
      </c>
      <c r="AM23" t="str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/>
      </c>
      <c r="AN23" t="str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/>
      </c>
      <c r="AO23" t="str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/>
      </c>
      <c r="AP23" t="str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/>
      </c>
      <c r="AQ23" t="str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/>
      </c>
      <c r="AR23" t="str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/>
      </c>
      <c r="AS23" t="str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/>
      </c>
      <c r="AT23" t="str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/>
      </c>
      <c r="BI23" t="s">
        <v>210</v>
      </c>
      <c r="BJ23" t="s">
        <v>212</v>
      </c>
      <c r="BK23" t="s">
        <v>594</v>
      </c>
      <c r="BL23" t="str">
        <f t="shared" si="1"/>
        <v/>
      </c>
      <c r="BM23" t="str">
        <f t="shared" si="2"/>
        <v/>
      </c>
      <c r="BN23" t="str">
        <f t="shared" si="3"/>
        <v>F00000SCLE%7C</v>
      </c>
      <c r="BO23" t="str">
        <f t="shared" si="4"/>
        <v>10000%7C</v>
      </c>
    </row>
    <row r="24" spans="1:67" x14ac:dyDescent="0.3">
      <c r="A24" s="3"/>
      <c r="B24" s="5" t="str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/>
      </c>
      <c r="C24" s="12"/>
      <c r="D24" s="5" t="str">
        <f t="shared" si="0"/>
        <v/>
      </c>
      <c r="F24" s="26" t="s">
        <v>551</v>
      </c>
      <c r="M24" t="s">
        <v>304</v>
      </c>
      <c r="N24" t="str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/>
      </c>
      <c r="O24" t="str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/>
      </c>
      <c r="P24" t="str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/>
      </c>
      <c r="Q24" t="str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/>
      </c>
      <c r="R24" t="str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/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 t="str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/>
      </c>
      <c r="U24" t="str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/>
      </c>
      <c r="V24" t="str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/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 t="str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/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 t="str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/>
      </c>
      <c r="AD24" t="str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/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 t="str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/>
      </c>
      <c r="AG24" t="str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/>
      </c>
      <c r="AH24" t="str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/>
      </c>
      <c r="AI24" t="str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/>
      </c>
      <c r="AJ24" t="str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/>
      </c>
      <c r="AK24" t="str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/>
      </c>
      <c r="AL24" t="str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/>
      </c>
      <c r="AM24" t="str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/>
      </c>
      <c r="AN24" t="str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/>
      </c>
      <c r="AO24" t="str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/>
      </c>
      <c r="AP24" t="str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/>
      </c>
      <c r="AQ24" t="str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/>
      </c>
      <c r="AR24" t="str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/>
      </c>
      <c r="AS24" t="str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/>
      </c>
      <c r="AT24" t="str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/>
      </c>
      <c r="BI24" t="s">
        <v>304</v>
      </c>
      <c r="BJ24" t="s">
        <v>306</v>
      </c>
      <c r="BK24" t="s">
        <v>595</v>
      </c>
      <c r="BL24" t="str">
        <f t="shared" si="1"/>
        <v/>
      </c>
      <c r="BM24" t="str">
        <f t="shared" si="2"/>
        <v/>
      </c>
      <c r="BN24" t="str">
        <f t="shared" si="3"/>
        <v>F00000SCLE%7C</v>
      </c>
      <c r="BO24" t="str">
        <f t="shared" si="4"/>
        <v>10000%7C</v>
      </c>
    </row>
    <row r="25" spans="1:67" x14ac:dyDescent="0.3">
      <c r="A25" s="3"/>
      <c r="B25" s="5" t="str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/>
      </c>
      <c r="C25" s="12"/>
      <c r="D25" s="5" t="str">
        <f t="shared" si="0"/>
        <v/>
      </c>
      <c r="F25" s="26" t="s">
        <v>552</v>
      </c>
      <c r="M25" t="s">
        <v>360</v>
      </c>
      <c r="N25" t="str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/>
      </c>
      <c r="O25" t="str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/>
      </c>
      <c r="P25" t="str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/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 t="str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/>
      </c>
      <c r="S25" t="str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/>
      </c>
      <c r="T25" t="str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/>
      </c>
      <c r="U25" t="str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/>
      </c>
      <c r="V25" t="str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/>
      </c>
      <c r="W25" t="str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/>
      </c>
      <c r="X25" t="str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/>
      </c>
      <c r="Y25" t="str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/>
      </c>
      <c r="Z25" t="str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/>
      </c>
      <c r="AA25" t="str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/>
      </c>
      <c r="AB25" t="str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/>
      </c>
      <c r="AC25" t="str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/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 t="str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/>
      </c>
      <c r="AF25" t="str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/>
      </c>
      <c r="AG25" t="str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/>
      </c>
      <c r="AH25" t="str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/>
      </c>
      <c r="AI25" t="str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/>
      </c>
      <c r="AJ25" t="str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/>
      </c>
      <c r="AK25" t="str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/>
      </c>
      <c r="AL25" t="str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/>
      </c>
      <c r="AM25" t="str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/>
      </c>
      <c r="AN25" t="str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/>
      </c>
      <c r="AO25" t="str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/>
      </c>
      <c r="AP25" t="str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/>
      </c>
      <c r="AQ25" t="str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/>
      </c>
      <c r="AR25" t="str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/>
      </c>
      <c r="AS25" t="str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/>
      </c>
      <c r="AT25" t="str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/>
      </c>
      <c r="BI25" t="s">
        <v>360</v>
      </c>
      <c r="BJ25" t="s">
        <v>363</v>
      </c>
      <c r="BK25" t="s">
        <v>596</v>
      </c>
      <c r="BL25" t="str">
        <f t="shared" si="1"/>
        <v/>
      </c>
      <c r="BM25" t="str">
        <f t="shared" si="2"/>
        <v/>
      </c>
      <c r="BN25" t="str">
        <f t="shared" si="3"/>
        <v>F00000SCLE%7C</v>
      </c>
      <c r="BO25" t="str">
        <f t="shared" si="4"/>
        <v>10000%7C</v>
      </c>
    </row>
    <row r="26" spans="1:67" x14ac:dyDescent="0.3">
      <c r="A26" s="3"/>
      <c r="B26" s="5" t="str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/>
      </c>
      <c r="C26" s="12"/>
      <c r="D26" s="5" t="str">
        <f t="shared" si="0"/>
        <v/>
      </c>
      <c r="M26" t="s">
        <v>387</v>
      </c>
      <c r="N26" t="str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/>
      </c>
      <c r="O26" t="str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/>
      </c>
      <c r="P26" t="str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/>
      </c>
      <c r="Q26" t="str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/>
      </c>
      <c r="R26" t="str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/>
      </c>
      <c r="S26" t="str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/>
      </c>
      <c r="T26" t="str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/>
      </c>
      <c r="U26" t="str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/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 t="str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/>
      </c>
      <c r="X26" t="str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/>
      </c>
      <c r="Y26" t="str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/>
      </c>
      <c r="Z26" t="str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/>
      </c>
      <c r="AA26" t="str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/>
      </c>
      <c r="AB26" t="str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/>
      </c>
      <c r="AC26" t="str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/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 t="str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/>
      </c>
      <c r="AG26" t="str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/>
      </c>
      <c r="AH26" t="str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/>
      </c>
      <c r="AI26" t="str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/>
      </c>
      <c r="AJ26" t="str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/>
      </c>
      <c r="AK26" t="str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/>
      </c>
      <c r="AL26" t="str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/>
      </c>
      <c r="AM26" t="str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/>
      </c>
      <c r="AN26" t="str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/>
      </c>
      <c r="AO26" t="str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/>
      </c>
      <c r="AP26" t="str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/>
      </c>
      <c r="AQ26" t="str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/>
      </c>
      <c r="AR26" t="str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/>
      </c>
      <c r="AS26" t="str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/>
      </c>
      <c r="AT26" t="str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/>
      </c>
      <c r="BI26" t="s">
        <v>387</v>
      </c>
      <c r="BJ26" t="s">
        <v>389</v>
      </c>
      <c r="BK26" t="s">
        <v>597</v>
      </c>
      <c r="BL26" t="str">
        <f t="shared" si="1"/>
        <v/>
      </c>
      <c r="BM26" t="str">
        <f t="shared" si="2"/>
        <v/>
      </c>
      <c r="BN26" t="str">
        <f t="shared" si="3"/>
        <v>F00000SCLE%7C</v>
      </c>
      <c r="BO26" t="str">
        <f t="shared" si="4"/>
        <v>10000%7C</v>
      </c>
    </row>
    <row r="27" spans="1:67" x14ac:dyDescent="0.3">
      <c r="A27" s="3"/>
      <c r="B27" s="5" t="str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/>
      </c>
      <c r="C27" s="12"/>
      <c r="D27" s="5" t="str">
        <f t="shared" si="0"/>
        <v/>
      </c>
      <c r="F27" s="2" t="s">
        <v>553</v>
      </c>
      <c r="G27" s="2" t="s">
        <v>535</v>
      </c>
      <c r="M27" t="s">
        <v>109</v>
      </c>
      <c r="N27" t="str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/>
      </c>
      <c r="O27" t="str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/>
      </c>
      <c r="P27" t="str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/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 t="str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/>
      </c>
      <c r="S27" t="str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/>
      </c>
      <c r="T27" t="str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/>
      </c>
      <c r="U27" t="str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/>
      </c>
      <c r="V27" t="str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/>
      </c>
      <c r="W27" t="str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/>
      </c>
      <c r="X27" t="str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/>
      </c>
      <c r="Y27" t="str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/>
      </c>
      <c r="Z27" t="str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/>
      </c>
      <c r="AA27" t="str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/>
      </c>
      <c r="AB27" t="str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/>
      </c>
      <c r="AC27" t="str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/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 t="str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/>
      </c>
      <c r="AF27" t="str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/>
      </c>
      <c r="AG27" t="str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/>
      </c>
      <c r="AH27" t="str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/>
      </c>
      <c r="AI27" t="str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/>
      </c>
      <c r="AJ27" t="str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/>
      </c>
      <c r="AK27" t="str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/>
      </c>
      <c r="AL27" t="str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/>
      </c>
      <c r="AM27" t="str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/>
      </c>
      <c r="AN27" t="str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/>
      </c>
      <c r="AO27" t="str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/>
      </c>
      <c r="AP27" t="str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/>
      </c>
      <c r="AQ27" t="str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/>
      </c>
      <c r="AR27" t="str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/>
      </c>
      <c r="AS27" t="str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/>
      </c>
      <c r="AT27" t="str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/>
      </c>
      <c r="BI27" t="s">
        <v>109</v>
      </c>
      <c r="BJ27" t="s">
        <v>111</v>
      </c>
      <c r="BK27" t="s">
        <v>598</v>
      </c>
      <c r="BL27" t="str">
        <f t="shared" si="1"/>
        <v/>
      </c>
      <c r="BM27" t="str">
        <f t="shared" si="2"/>
        <v/>
      </c>
      <c r="BN27" t="str">
        <f t="shared" si="3"/>
        <v>F00000SCLE%7C</v>
      </c>
      <c r="BO27" t="str">
        <f t="shared" si="4"/>
        <v>10000%7C</v>
      </c>
    </row>
    <row r="28" spans="1:67" x14ac:dyDescent="0.3">
      <c r="A28" s="3"/>
      <c r="B28" s="5" t="str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/>
      </c>
      <c r="C28" s="12"/>
      <c r="D28" s="5" t="str">
        <f t="shared" si="0"/>
        <v/>
      </c>
      <c r="M28" t="s">
        <v>393</v>
      </c>
      <c r="N28" t="str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/>
      </c>
      <c r="O28" t="str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/>
      </c>
      <c r="P28" t="str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/>
      </c>
      <c r="Q28" t="str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/>
      </c>
      <c r="R28" t="str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/>
      </c>
      <c r="S28" t="str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/>
      </c>
      <c r="T28" t="str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/>
      </c>
      <c r="U28" t="str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/>
      </c>
      <c r="V28" t="str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/>
      </c>
      <c r="W28" t="str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/>
      </c>
      <c r="X28" t="str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/>
      </c>
      <c r="Y28" t="str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/>
      </c>
      <c r="Z28" t="str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/>
      </c>
      <c r="AA28" t="str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/>
      </c>
      <c r="AB28" t="str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/>
      </c>
      <c r="AC28" t="str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/>
      </c>
      <c r="AD28" t="str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/>
      </c>
      <c r="AE28" t="str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/>
      </c>
      <c r="AF28" t="str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/>
      </c>
      <c r="AG28" t="str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/>
      </c>
      <c r="AH28" t="str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/>
      </c>
      <c r="AI28" t="str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/>
      </c>
      <c r="AJ28" t="str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/>
      </c>
      <c r="AK28" t="str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/>
      </c>
      <c r="AL28" t="str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/>
      </c>
      <c r="AM28" t="str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/>
      </c>
      <c r="AN28" t="str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/>
      </c>
      <c r="AO28" t="str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/>
      </c>
      <c r="AP28" t="str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/>
      </c>
      <c r="AQ28" t="str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/>
      </c>
      <c r="AR28" t="str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/>
      </c>
      <c r="AS28" t="str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/>
      </c>
      <c r="AT28" t="str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/>
      </c>
      <c r="BI28" t="s">
        <v>393</v>
      </c>
      <c r="BJ28" t="s">
        <v>396</v>
      </c>
      <c r="BK28" t="s">
        <v>599</v>
      </c>
      <c r="BL28" t="str">
        <f t="shared" si="1"/>
        <v/>
      </c>
      <c r="BM28" t="str">
        <f t="shared" si="2"/>
        <v/>
      </c>
      <c r="BN28" t="str">
        <f t="shared" si="3"/>
        <v>F00000SCLE%7C</v>
      </c>
      <c r="BO28" t="str">
        <f t="shared" si="4"/>
        <v>10000%7C</v>
      </c>
    </row>
    <row r="29" spans="1:67" x14ac:dyDescent="0.3">
      <c r="A29" s="3"/>
      <c r="B29" s="5" t="str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/>
      </c>
      <c r="C29" s="12"/>
      <c r="D29" s="5" t="str">
        <f t="shared" si="0"/>
        <v/>
      </c>
      <c r="M29" t="s">
        <v>381</v>
      </c>
      <c r="N29" t="str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/>
      </c>
      <c r="O29" t="str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/>
      </c>
      <c r="P29" t="str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/>
      </c>
      <c r="Q29" t="str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/>
      </c>
      <c r="R29" t="str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/>
      </c>
      <c r="S29" t="str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/>
      </c>
      <c r="T29" t="str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/>
      </c>
      <c r="U29" t="str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/>
      </c>
      <c r="V29" t="str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/>
      </c>
      <c r="W29" t="str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/>
      </c>
      <c r="X29" t="str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/>
      </c>
      <c r="Y29" t="str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/>
      </c>
      <c r="Z29" t="str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/>
      </c>
      <c r="AA29" t="str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/>
      </c>
      <c r="AB29" t="str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/>
      </c>
      <c r="AC29" t="str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/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 t="str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/>
      </c>
      <c r="AF29" t="str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/>
      </c>
      <c r="AG29" t="str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/>
      </c>
      <c r="AH29" t="str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/>
      </c>
      <c r="AI29" t="str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/>
      </c>
      <c r="AJ29" t="str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/>
      </c>
      <c r="AK29" t="str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/>
      </c>
      <c r="AL29" t="str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/>
      </c>
      <c r="AM29" t="str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/>
      </c>
      <c r="AN29" t="str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/>
      </c>
      <c r="AO29" t="str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/>
      </c>
      <c r="AP29" t="str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/>
      </c>
      <c r="AQ29" t="str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/>
      </c>
      <c r="AR29" t="str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/>
      </c>
      <c r="AS29" t="str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/>
      </c>
      <c r="AT29" t="str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/>
      </c>
      <c r="BI29" t="s">
        <v>381</v>
      </c>
      <c r="BJ29" t="s">
        <v>383</v>
      </c>
      <c r="BK29" t="s">
        <v>600</v>
      </c>
      <c r="BL29" t="str">
        <f t="shared" si="1"/>
        <v/>
      </c>
      <c r="BM29" t="str">
        <f t="shared" si="2"/>
        <v/>
      </c>
      <c r="BN29" t="str">
        <f t="shared" si="3"/>
        <v>F00000SCLE%7C</v>
      </c>
      <c r="BO29" t="str">
        <f t="shared" si="4"/>
        <v>10000%7C</v>
      </c>
    </row>
    <row r="30" spans="1:67" x14ac:dyDescent="0.3">
      <c r="A30" s="3"/>
      <c r="B30" s="5" t="str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/>
      </c>
      <c r="C30" s="12"/>
      <c r="D30" s="5" t="str">
        <f t="shared" si="0"/>
        <v/>
      </c>
      <c r="M30" t="s">
        <v>351</v>
      </c>
      <c r="N30" t="str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/>
      </c>
      <c r="O30" t="str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/>
      </c>
      <c r="P30" t="str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/>
      </c>
      <c r="Q30" t="str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/>
      </c>
      <c r="R30" t="str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/>
      </c>
      <c r="S30" t="str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/>
      </c>
      <c r="T30" t="str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/>
      </c>
      <c r="U30" t="str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/>
      </c>
      <c r="V30" t="str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/>
      </c>
      <c r="W30" t="str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/>
      </c>
      <c r="X30" t="str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/>
      </c>
      <c r="Y30" t="str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/>
      </c>
      <c r="Z30" t="str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/>
      </c>
      <c r="AA30" t="str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/>
      </c>
      <c r="AB30" t="str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/>
      </c>
      <c r="AC30" t="str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/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 t="str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/>
      </c>
      <c r="AF30" t="str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/>
      </c>
      <c r="AG30" t="str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/>
      </c>
      <c r="AH30" t="str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/>
      </c>
      <c r="AI30" t="str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/>
      </c>
      <c r="AJ30" t="str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/>
      </c>
      <c r="AK30" t="str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/>
      </c>
      <c r="AL30" t="str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/>
      </c>
      <c r="AM30" t="str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/>
      </c>
      <c r="AN30" t="str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/>
      </c>
      <c r="AO30" t="str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/>
      </c>
      <c r="AP30" t="str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/>
      </c>
      <c r="AQ30" t="str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/>
      </c>
      <c r="AR30" t="str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/>
      </c>
      <c r="AS30" t="str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/>
      </c>
      <c r="AT30" t="str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/>
      </c>
      <c r="BI30" t="s">
        <v>351</v>
      </c>
      <c r="BJ30" t="s">
        <v>353</v>
      </c>
      <c r="BK30" t="s">
        <v>601</v>
      </c>
      <c r="BL30" t="str">
        <f t="shared" si="1"/>
        <v/>
      </c>
      <c r="BM30" t="str">
        <f t="shared" si="2"/>
        <v/>
      </c>
      <c r="BN30" t="str">
        <f t="shared" si="3"/>
        <v>F00000SCLE%7C</v>
      </c>
      <c r="BO30" t="str">
        <f t="shared" si="4"/>
        <v>10000%7C</v>
      </c>
    </row>
    <row r="31" spans="1:67" x14ac:dyDescent="0.3">
      <c r="A31" s="3"/>
      <c r="B31" s="5" t="str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/>
      </c>
      <c r="C31" s="12"/>
      <c r="D31" s="5" t="str">
        <f t="shared" si="0"/>
        <v/>
      </c>
      <c r="M31" t="s">
        <v>90</v>
      </c>
      <c r="N31" t="str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/>
      </c>
      <c r="O31" t="str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/>
      </c>
      <c r="P31" t="str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/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 t="str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/>
      </c>
      <c r="S31" t="str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/>
      </c>
      <c r="T31" t="str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/>
      </c>
      <c r="U31" t="str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/>
      </c>
      <c r="V31" t="str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/>
      </c>
      <c r="W31" t="str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/>
      </c>
      <c r="X31" t="str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/>
      </c>
      <c r="Y31" t="str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/>
      </c>
      <c r="Z31" t="str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/>
      </c>
      <c r="AA31" t="str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/>
      </c>
      <c r="AB31" t="str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/>
      </c>
      <c r="AC31" t="str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/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 t="str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/>
      </c>
      <c r="AF31" t="str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/>
      </c>
      <c r="AG31" t="str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/>
      </c>
      <c r="AH31" t="str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/>
      </c>
      <c r="AI31" t="str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/>
      </c>
      <c r="AJ31" t="str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/>
      </c>
      <c r="AK31" t="str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/>
      </c>
      <c r="AL31" t="str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/>
      </c>
      <c r="AM31" t="str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/>
      </c>
      <c r="AN31" t="str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/>
      </c>
      <c r="AO31" t="str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/>
      </c>
      <c r="AP31" t="str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/>
      </c>
      <c r="AQ31" t="str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/>
      </c>
      <c r="AR31" t="str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/>
      </c>
      <c r="AS31" t="str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/>
      </c>
      <c r="AT31" t="str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/>
      </c>
      <c r="BI31" t="s">
        <v>90</v>
      </c>
      <c r="BJ31" t="s">
        <v>93</v>
      </c>
      <c r="BK31" t="s">
        <v>602</v>
      </c>
      <c r="BL31" t="str">
        <f t="shared" si="1"/>
        <v/>
      </c>
      <c r="BM31" t="str">
        <f t="shared" si="2"/>
        <v/>
      </c>
      <c r="BN31" t="str">
        <f t="shared" si="3"/>
        <v>F00000SCLE%7C</v>
      </c>
      <c r="BO31" t="str">
        <f t="shared" si="4"/>
        <v>10000%7C</v>
      </c>
    </row>
    <row r="32" spans="1:67" x14ac:dyDescent="0.3">
      <c r="A32" s="3"/>
      <c r="B32" s="5" t="str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/>
      </c>
      <c r="C32" s="12"/>
      <c r="D32" s="5" t="str">
        <f t="shared" si="0"/>
        <v/>
      </c>
      <c r="M32" t="s">
        <v>186</v>
      </c>
      <c r="N32" t="str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/>
      </c>
      <c r="O32" t="str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/>
      </c>
      <c r="P32" t="str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/>
      </c>
      <c r="Q32" t="str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/>
      </c>
      <c r="R32" t="str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/>
      </c>
      <c r="S32" t="str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/>
      </c>
      <c r="T32" t="str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/>
      </c>
      <c r="U32" t="str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/>
      </c>
      <c r="V32" t="str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/>
      </c>
      <c r="W32" t="str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/>
      </c>
      <c r="X32" t="str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/>
      </c>
      <c r="Y32" t="str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/>
      </c>
      <c r="Z32" t="str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/>
      </c>
      <c r="AA32" t="str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/>
      </c>
      <c r="AB32" t="str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/>
      </c>
      <c r="AC32" t="str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/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 t="str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/>
      </c>
      <c r="AF32" t="str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/>
      </c>
      <c r="AG32" t="str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/>
      </c>
      <c r="AH32" t="str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/>
      </c>
      <c r="AI32" t="str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/>
      </c>
      <c r="AJ32" t="str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/>
      </c>
      <c r="AK32" t="str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/>
      </c>
      <c r="AL32" t="str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/>
      </c>
      <c r="AM32" t="str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/>
      </c>
      <c r="AN32" t="str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/>
      </c>
      <c r="AO32" t="str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/>
      </c>
      <c r="AP32" t="str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/>
      </c>
      <c r="AQ32" t="str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/>
      </c>
      <c r="AR32" t="str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/>
      </c>
      <c r="AS32" t="str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/>
      </c>
      <c r="AT32" t="str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/>
      </c>
      <c r="BI32" t="s">
        <v>186</v>
      </c>
      <c r="BJ32" t="s">
        <v>188</v>
      </c>
      <c r="BK32" t="s">
        <v>603</v>
      </c>
      <c r="BL32" t="str">
        <f t="shared" si="1"/>
        <v/>
      </c>
      <c r="BM32" t="str">
        <f t="shared" si="2"/>
        <v/>
      </c>
      <c r="BN32" t="str">
        <f t="shared" si="3"/>
        <v>F00000SCLE%7C</v>
      </c>
      <c r="BO32" t="str">
        <f t="shared" si="4"/>
        <v>10000%7C</v>
      </c>
    </row>
    <row r="33" spans="1:67" ht="18" customHeight="1" x14ac:dyDescent="0.3">
      <c r="A33" s="3"/>
      <c r="B33" s="5" t="str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/>
      </c>
      <c r="C33" s="12"/>
      <c r="D33" s="5" t="str">
        <f t="shared" si="0"/>
        <v/>
      </c>
      <c r="F33" s="139" t="s">
        <v>554</v>
      </c>
      <c r="G33" s="140"/>
      <c r="H33" s="140"/>
      <c r="M33" t="s">
        <v>54</v>
      </c>
      <c r="N33" t="str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/>
      </c>
      <c r="O33" t="str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/>
      </c>
      <c r="P33" t="str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/>
      </c>
      <c r="Q33" t="str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/>
      </c>
      <c r="R33" t="str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/>
      </c>
      <c r="S33" t="str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/>
      </c>
      <c r="T33" t="str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/>
      </c>
      <c r="U33" t="str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/>
      </c>
      <c r="V33" t="str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/>
      </c>
      <c r="W33" t="str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/>
      </c>
      <c r="X33" t="str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/>
      </c>
      <c r="Y33" t="str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/>
      </c>
      <c r="Z33" t="str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/>
      </c>
      <c r="AA33" t="str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/>
      </c>
      <c r="AB33" t="str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/>
      </c>
      <c r="AC33" t="str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/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 t="str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/>
      </c>
      <c r="AF33" t="str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/>
      </c>
      <c r="AG33" t="str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/>
      </c>
      <c r="AH33" t="str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/>
      </c>
      <c r="AI33" t="str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/>
      </c>
      <c r="AJ33" t="str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/>
      </c>
      <c r="AK33" t="str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/>
      </c>
      <c r="AL33" t="str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/>
      </c>
      <c r="AM33" t="str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/>
      </c>
      <c r="AN33" t="str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/>
      </c>
      <c r="AO33" t="str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/>
      </c>
      <c r="AP33" t="str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/>
      </c>
      <c r="AQ33" t="str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/>
      </c>
      <c r="AR33" t="str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/>
      </c>
      <c r="AS33" t="str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/>
      </c>
      <c r="AT33" t="str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/>
      </c>
      <c r="BI33" t="s">
        <v>54</v>
      </c>
      <c r="BJ33" t="s">
        <v>56</v>
      </c>
      <c r="BK33" t="s">
        <v>604</v>
      </c>
      <c r="BL33" t="str">
        <f t="shared" si="1"/>
        <v/>
      </c>
      <c r="BM33" t="str">
        <f t="shared" si="2"/>
        <v/>
      </c>
      <c r="BN33" t="str">
        <f t="shared" si="3"/>
        <v>F00000SCLE%7C</v>
      </c>
      <c r="BO33" t="str">
        <f t="shared" si="4"/>
        <v>10000%7C</v>
      </c>
    </row>
    <row r="34" spans="1:67" ht="18" customHeight="1" x14ac:dyDescent="0.3">
      <c r="A34" s="3"/>
      <c r="B34" s="5" t="str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/>
      </c>
      <c r="C34" s="12"/>
      <c r="D34" s="5" t="str">
        <f t="shared" si="0"/>
        <v/>
      </c>
      <c r="F34" s="139" t="s">
        <v>555</v>
      </c>
      <c r="G34" s="140"/>
      <c r="H34" s="140"/>
      <c r="M34" t="s">
        <v>276</v>
      </c>
      <c r="N34" t="str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/>
      </c>
      <c r="O34" t="str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/>
      </c>
      <c r="P34" t="str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/>
      </c>
      <c r="Q34" t="str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/>
      </c>
      <c r="R34" t="str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/>
      </c>
      <c r="S34" t="str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/>
      </c>
      <c r="T34" t="str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/>
      </c>
      <c r="U34" t="str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/>
      </c>
      <c r="V34" t="str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/>
      </c>
      <c r="W34" t="str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/>
      </c>
      <c r="X34" t="str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/>
      </c>
      <c r="Y34" t="str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/>
      </c>
      <c r="Z34" t="str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/>
      </c>
      <c r="AA34" t="str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/>
      </c>
      <c r="AB34" t="str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/>
      </c>
      <c r="AC34" t="str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/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 t="str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/>
      </c>
      <c r="AF34" t="str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/>
      </c>
      <c r="AG34" t="str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/>
      </c>
      <c r="AH34" t="str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/>
      </c>
      <c r="AI34" t="str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/>
      </c>
      <c r="AJ34" t="str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/>
      </c>
      <c r="AK34" t="str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/>
      </c>
      <c r="AL34" t="str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/>
      </c>
      <c r="AM34" t="str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/>
      </c>
      <c r="AN34" t="str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/>
      </c>
      <c r="AO34" t="str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/>
      </c>
      <c r="AP34" t="str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/>
      </c>
      <c r="AQ34" t="str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/>
      </c>
      <c r="AR34" t="str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/>
      </c>
      <c r="AS34" t="str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/>
      </c>
      <c r="AT34" t="str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/>
      </c>
      <c r="BI34" t="s">
        <v>276</v>
      </c>
      <c r="BJ34" t="s">
        <v>278</v>
      </c>
      <c r="BK34" t="s">
        <v>605</v>
      </c>
      <c r="BL34" t="str">
        <f t="shared" si="1"/>
        <v/>
      </c>
      <c r="BM34" t="str">
        <f t="shared" si="2"/>
        <v/>
      </c>
      <c r="BN34" t="str">
        <f t="shared" si="3"/>
        <v>F00000SCLE%7C</v>
      </c>
      <c r="BO34" t="str">
        <f t="shared" si="4"/>
        <v>10000%7C</v>
      </c>
    </row>
    <row r="35" spans="1:67" x14ac:dyDescent="0.3">
      <c r="A35" s="3"/>
      <c r="B35" s="5" t="str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/>
      </c>
      <c r="C35" s="12"/>
      <c r="D35" s="5" t="str">
        <f t="shared" si="0"/>
        <v/>
      </c>
      <c r="F35" s="135" t="s">
        <v>846</v>
      </c>
      <c r="M35" t="s">
        <v>457</v>
      </c>
      <c r="N35" t="str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/>
      </c>
      <c r="O35" t="str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/>
      </c>
      <c r="P35" t="str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/>
      </c>
      <c r="Q35" t="str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/>
      </c>
      <c r="R35" t="str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/>
      </c>
      <c r="S35" t="str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/>
      </c>
      <c r="T35" t="str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/>
      </c>
      <c r="U35" t="str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/>
      </c>
      <c r="V35" t="str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/>
      </c>
      <c r="W35" t="str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/>
      </c>
      <c r="X35" t="str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/>
      </c>
      <c r="Y35" t="str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/>
      </c>
      <c r="Z35" t="str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/>
      </c>
      <c r="AA35" t="str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/>
      </c>
      <c r="AB35" t="str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/>
      </c>
      <c r="AC35" t="str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/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 t="str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/>
      </c>
      <c r="AF35" t="str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/>
      </c>
      <c r="AG35" t="str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/>
      </c>
      <c r="AH35" t="str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/>
      </c>
      <c r="AI35" t="str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/>
      </c>
      <c r="AJ35" t="str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/>
      </c>
      <c r="AK35" t="str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/>
      </c>
      <c r="AL35" t="str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/>
      </c>
      <c r="AM35" t="str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/>
      </c>
      <c r="AN35" t="str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/>
      </c>
      <c r="AO35" t="str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/>
      </c>
      <c r="AP35" t="str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/>
      </c>
      <c r="AQ35" t="str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/>
      </c>
      <c r="AR35" t="str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/>
      </c>
      <c r="AS35" t="str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/>
      </c>
      <c r="AT35" t="str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/>
      </c>
      <c r="BI35" t="s">
        <v>457</v>
      </c>
      <c r="BJ35" t="s">
        <v>459</v>
      </c>
      <c r="BK35" t="s">
        <v>606</v>
      </c>
      <c r="BL35" t="str">
        <f t="shared" si="1"/>
        <v/>
      </c>
      <c r="BM35" t="str">
        <f t="shared" si="2"/>
        <v/>
      </c>
      <c r="BN35" t="str">
        <f t="shared" si="3"/>
        <v>F00000SCLE%7C</v>
      </c>
      <c r="BO35" t="str">
        <f t="shared" si="4"/>
        <v>10000%7C</v>
      </c>
    </row>
    <row r="36" spans="1:67" x14ac:dyDescent="0.3">
      <c r="A36" s="3"/>
      <c r="B36" s="5" t="str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/>
      </c>
      <c r="C36" s="12"/>
      <c r="D36" s="5" t="str">
        <f t="shared" si="0"/>
        <v/>
      </c>
      <c r="F36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https://lt.morningstar.com/j2uwuwirpv/xraypdf/default.aspx?LanguageId=es-ES&amp;CurrencyId=EUR&amp;securityIds=F00000SCLE%7C&amp;marketValues=10000%7C&amp;typeids=FO%7C</v>
      </c>
      <c r="M36" t="s">
        <v>489</v>
      </c>
      <c r="N36" t="str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/>
      </c>
      <c r="O36" t="str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/>
      </c>
      <c r="P36" t="str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/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 t="str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/>
      </c>
      <c r="S36" t="str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/>
      </c>
      <c r="T36" t="str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/>
      </c>
      <c r="U36" t="str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/>
      </c>
      <c r="V36" t="str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/>
      </c>
      <c r="W36" t="str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/>
      </c>
      <c r="X36" t="str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/>
      </c>
      <c r="Y36" t="str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/>
      </c>
      <c r="Z36" t="str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/>
      </c>
      <c r="AA36" t="str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/>
      </c>
      <c r="AB36" t="str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/>
      </c>
      <c r="AC36" t="str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/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 t="str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/>
      </c>
      <c r="AF36" t="str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/>
      </c>
      <c r="AG36" t="str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/>
      </c>
      <c r="AH36" t="str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/>
      </c>
      <c r="AI36" t="str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/>
      </c>
      <c r="AJ36" t="str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/>
      </c>
      <c r="AK36" t="str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/>
      </c>
      <c r="AL36" t="str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/>
      </c>
      <c r="AM36" t="str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/>
      </c>
      <c r="AN36" t="str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/>
      </c>
      <c r="AO36" t="str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/>
      </c>
      <c r="AP36" t="str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/>
      </c>
      <c r="AQ36" t="str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/>
      </c>
      <c r="AR36" t="str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/>
      </c>
      <c r="AS36" t="str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/>
      </c>
      <c r="AT36" t="str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/>
      </c>
      <c r="BI36" t="s">
        <v>489</v>
      </c>
      <c r="BJ36" t="s">
        <v>492</v>
      </c>
      <c r="BK36" t="s">
        <v>607</v>
      </c>
      <c r="BL36" t="str">
        <f t="shared" si="1"/>
        <v/>
      </c>
      <c r="BM36" t="str">
        <f t="shared" si="2"/>
        <v/>
      </c>
      <c r="BN36" t="str">
        <f t="shared" si="3"/>
        <v>F00000SCLE%7C</v>
      </c>
      <c r="BO36" t="str">
        <f t="shared" si="4"/>
        <v>10000%7C</v>
      </c>
    </row>
    <row r="37" spans="1:67" x14ac:dyDescent="0.3">
      <c r="A37" s="3"/>
      <c r="B37" s="5" t="str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/>
      </c>
      <c r="C37" s="12"/>
      <c r="D37" s="5" t="str">
        <f t="shared" si="0"/>
        <v/>
      </c>
      <c r="M37" t="s">
        <v>228</v>
      </c>
      <c r="N37" t="str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/>
      </c>
      <c r="O37" t="str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/>
      </c>
      <c r="P37" t="str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/>
      </c>
      <c r="Q37" t="str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/>
      </c>
      <c r="R37" t="str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/>
      </c>
      <c r="S37" t="str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/>
      </c>
      <c r="T37" t="str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/>
      </c>
      <c r="U37" t="str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/>
      </c>
      <c r="V37" t="str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/>
      </c>
      <c r="W37" t="str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/>
      </c>
      <c r="X37" t="str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/>
      </c>
      <c r="Y37" t="str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/>
      </c>
      <c r="Z37" t="str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/>
      </c>
      <c r="AA37" t="str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/>
      </c>
      <c r="AB37" t="str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/>
      </c>
      <c r="AC37" t="str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/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 t="str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/>
      </c>
      <c r="AF37" t="str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/>
      </c>
      <c r="AG37" t="str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/>
      </c>
      <c r="AH37" t="str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/>
      </c>
      <c r="AI37" t="str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/>
      </c>
      <c r="AJ37" t="str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/>
      </c>
      <c r="AK37" t="str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/>
      </c>
      <c r="AL37" t="str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/>
      </c>
      <c r="AM37" t="str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/>
      </c>
      <c r="AN37" t="str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/>
      </c>
      <c r="AO37" t="str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/>
      </c>
      <c r="AP37" t="str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/>
      </c>
      <c r="AQ37" t="str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/>
      </c>
      <c r="AR37" t="str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/>
      </c>
      <c r="AS37" t="str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/>
      </c>
      <c r="AT37" t="str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/>
      </c>
      <c r="BI37" t="s">
        <v>228</v>
      </c>
      <c r="BJ37" t="s">
        <v>230</v>
      </c>
      <c r="BK37" t="s">
        <v>608</v>
      </c>
      <c r="BL37" t="str">
        <f t="shared" si="1"/>
        <v/>
      </c>
      <c r="BM37" t="str">
        <f t="shared" si="2"/>
        <v/>
      </c>
      <c r="BN37" t="str">
        <f t="shared" si="3"/>
        <v>F00000SCLE%7C</v>
      </c>
      <c r="BO37" t="str">
        <f t="shared" si="4"/>
        <v>10000%7C</v>
      </c>
    </row>
    <row r="38" spans="1:67" x14ac:dyDescent="0.3">
      <c r="A38" s="3"/>
      <c r="B38" s="5" t="str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/>
      </c>
      <c r="C38" s="12"/>
      <c r="D38" s="5" t="str">
        <f t="shared" si="0"/>
        <v/>
      </c>
      <c r="F38" s="138" t="s">
        <v>844</v>
      </c>
      <c r="M38" t="s">
        <v>413</v>
      </c>
      <c r="N38" t="str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/>
      </c>
      <c r="O38" t="str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/>
      </c>
      <c r="P38" t="str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/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 t="str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/>
      </c>
      <c r="S38" t="str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/>
      </c>
      <c r="T38" t="str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/>
      </c>
      <c r="U38" t="str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/>
      </c>
      <c r="V38" t="str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/>
      </c>
      <c r="W38" t="str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/>
      </c>
      <c r="X38" t="str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/>
      </c>
      <c r="Y38" t="str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/>
      </c>
      <c r="Z38" t="str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/>
      </c>
      <c r="AA38" t="str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/>
      </c>
      <c r="AB38" t="str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/>
      </c>
      <c r="AC38" t="str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/>
      </c>
      <c r="AD38" t="str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/>
      </c>
      <c r="AE38" t="str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/>
      </c>
      <c r="AF38" t="str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/>
      </c>
      <c r="AG38" t="str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/>
      </c>
      <c r="AH38" t="str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/>
      </c>
      <c r="AI38" t="str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/>
      </c>
      <c r="AJ38" t="str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/>
      </c>
      <c r="AK38" t="str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/>
      </c>
      <c r="AL38" t="str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/>
      </c>
      <c r="AM38" t="str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/>
      </c>
      <c r="AN38" t="str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/>
      </c>
      <c r="AO38" t="str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/>
      </c>
      <c r="AP38" t="str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/>
      </c>
      <c r="AQ38" t="str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/>
      </c>
      <c r="AR38" t="str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/>
      </c>
      <c r="AS38" t="str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/>
      </c>
      <c r="AT38" t="str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/>
      </c>
      <c r="BI38" t="s">
        <v>413</v>
      </c>
      <c r="BJ38" t="s">
        <v>416</v>
      </c>
      <c r="BK38" t="s">
        <v>609</v>
      </c>
      <c r="BL38" t="str">
        <f t="shared" si="1"/>
        <v/>
      </c>
      <c r="BM38" t="str">
        <f t="shared" si="2"/>
        <v/>
      </c>
      <c r="BN38" t="str">
        <f t="shared" si="3"/>
        <v>F00000SCLE%7C</v>
      </c>
      <c r="BO38" t="str">
        <f t="shared" si="4"/>
        <v>10000%7C</v>
      </c>
    </row>
    <row r="39" spans="1:67" x14ac:dyDescent="0.3">
      <c r="A39" s="3"/>
      <c r="B39" s="5" t="str">
        <f>IF($A39="","",IFERROR(IF(INDEX('Fondos Estrella'!$G:$G,MATCH($A39,'Fondos Estrella'!$A:$A,0))=0,"Sin dato",INDEX('Fondos Estrella'!$G:$G,MATCH($A39,'Fondos Estrella'!$A:$A,0))),IFERROR(IF(INDEX('Fondos Estrella'!$G:$G,MATCH($A39,'Fondos Estrella'!$O:$O,0))=0,"Sin dato",INDEX('Fondos Estrella'!$G:$G,MATCH($A39,'Fondos Estrella'!$O:$O,0))),"No encontrado")))</f>
        <v/>
      </c>
      <c r="C39" s="12"/>
      <c r="D39" s="5" t="str">
        <f t="shared" si="0"/>
        <v/>
      </c>
      <c r="F39" s="138" t="s">
        <v>845</v>
      </c>
      <c r="M39" t="s">
        <v>497</v>
      </c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497</v>
      </c>
      <c r="BJ39" t="s">
        <v>500</v>
      </c>
      <c r="BK39" t="s">
        <v>610</v>
      </c>
      <c r="BL39" t="str">
        <f t="shared" si="1"/>
        <v/>
      </c>
      <c r="BM39" t="str">
        <f t="shared" si="2"/>
        <v/>
      </c>
      <c r="BN39" t="str">
        <f t="shared" si="3"/>
        <v>F00000SCLE%7C</v>
      </c>
      <c r="BO39" t="str">
        <f t="shared" si="4"/>
        <v>10000%7C</v>
      </c>
    </row>
    <row r="40" spans="1:67" x14ac:dyDescent="0.3">
      <c r="A40" s="3"/>
      <c r="B40" s="5" t="str">
        <f>IF($A40="","",IFERROR(IF(INDEX('Fondos Estrella'!$G:$G,MATCH($A40,'Fondos Estrella'!$A:$A,0))=0,"Sin dato",INDEX('Fondos Estrella'!$G:$G,MATCH($A40,'Fondos Estrella'!$A:$A,0))),IFERROR(IF(INDEX('Fondos Estrella'!$G:$G,MATCH($A40,'Fondos Estrella'!$O:$O,0))=0,"Sin dato",INDEX('Fondos Estrella'!$G:$G,MATCH($A40,'Fondos Estrella'!$O:$O,0))),"No encontrado")))</f>
        <v/>
      </c>
      <c r="C40" s="12"/>
      <c r="D40" s="5" t="str">
        <f t="shared" si="0"/>
        <v/>
      </c>
      <c r="M40" t="s">
        <v>169</v>
      </c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169</v>
      </c>
      <c r="BJ40" t="s">
        <v>171</v>
      </c>
      <c r="BK40" t="s">
        <v>611</v>
      </c>
      <c r="BL40" t="str">
        <f t="shared" si="1"/>
        <v/>
      </c>
      <c r="BM40" t="str">
        <f t="shared" si="2"/>
        <v/>
      </c>
      <c r="BN40" t="str">
        <f t="shared" si="3"/>
        <v>F00000SCLE%7C</v>
      </c>
      <c r="BO40" t="str">
        <f t="shared" si="4"/>
        <v>10000%7C</v>
      </c>
    </row>
    <row r="41" spans="1:67" x14ac:dyDescent="0.3">
      <c r="A41" s="3"/>
      <c r="B41" s="5" t="str">
        <f>IF($A41="","",IFERROR(IF(INDEX('Fondos Estrella'!$G:$G,MATCH($A41,'Fondos Estrella'!$A:$A,0))=0,"Sin dato",INDEX('Fondos Estrella'!$G:$G,MATCH($A41,'Fondos Estrella'!$A:$A,0))),IFERROR(IF(INDEX('Fondos Estrella'!$G:$G,MATCH($A41,'Fondos Estrella'!$O:$O,0))=0,"Sin dato",INDEX('Fondos Estrella'!$G:$G,MATCH($A41,'Fondos Estrella'!$O:$O,0))),"No encontrado")))</f>
        <v/>
      </c>
      <c r="C41" s="12"/>
      <c r="D41" s="5" t="str">
        <f t="shared" si="0"/>
        <v/>
      </c>
      <c r="M41" t="s">
        <v>231</v>
      </c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231</v>
      </c>
      <c r="BJ41" t="s">
        <v>233</v>
      </c>
      <c r="BK41" t="s">
        <v>612</v>
      </c>
      <c r="BL41" t="str">
        <f t="shared" si="1"/>
        <v/>
      </c>
      <c r="BM41" t="str">
        <f t="shared" si="2"/>
        <v/>
      </c>
      <c r="BN41" t="str">
        <f t="shared" si="3"/>
        <v>F00000SCLE%7C</v>
      </c>
      <c r="BO41" t="str">
        <f t="shared" si="4"/>
        <v>10000%7C</v>
      </c>
    </row>
    <row r="42" spans="1:67" x14ac:dyDescent="0.3">
      <c r="A42" s="3"/>
      <c r="B42" s="5" t="str">
        <f>IF($A42="","",IFERROR(IF(INDEX('Fondos Estrella'!$G:$G,MATCH($A42,'Fondos Estrella'!$A:$A,0))=0,"Sin dato",INDEX('Fondos Estrella'!$G:$G,MATCH($A42,'Fondos Estrella'!$A:$A,0))),IFERROR(IF(INDEX('Fondos Estrella'!$G:$G,MATCH($A42,'Fondos Estrella'!$O:$O,0))=0,"Sin dato",INDEX('Fondos Estrella'!$G:$G,MATCH($A42,'Fondos Estrella'!$O:$O,0))),"No encontrado")))</f>
        <v/>
      </c>
      <c r="C42" s="12"/>
      <c r="D42" s="5" t="str">
        <f t="shared" si="0"/>
        <v/>
      </c>
      <c r="M42" t="s">
        <v>245</v>
      </c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245</v>
      </c>
      <c r="BJ42" t="s">
        <v>247</v>
      </c>
      <c r="BK42" t="s">
        <v>613</v>
      </c>
      <c r="BL42" t="str">
        <f t="shared" si="1"/>
        <v/>
      </c>
      <c r="BM42" t="str">
        <f t="shared" si="2"/>
        <v/>
      </c>
      <c r="BN42" t="str">
        <f t="shared" si="3"/>
        <v>F00000SCLE%7C</v>
      </c>
      <c r="BO42" t="str">
        <f t="shared" si="4"/>
        <v>10000%7C</v>
      </c>
    </row>
    <row r="43" spans="1:67" x14ac:dyDescent="0.3">
      <c r="A43" s="3"/>
      <c r="B43" s="5" t="str">
        <f>IF($A43="","",IFERROR(IF(INDEX('Fondos Estrella'!$G:$G,MATCH($A43,'Fondos Estrella'!$A:$A,0))=0,"Sin dato",INDEX('Fondos Estrella'!$G:$G,MATCH($A43,'Fondos Estrella'!$A:$A,0))),IFERROR(IF(INDEX('Fondos Estrella'!$G:$G,MATCH($A43,'Fondos Estrella'!$O:$O,0))=0,"Sin dato",INDEX('Fondos Estrella'!$G:$G,MATCH($A43,'Fondos Estrella'!$O:$O,0))),"No encontrado")))</f>
        <v/>
      </c>
      <c r="C43" s="12"/>
      <c r="D43" s="5" t="str">
        <f t="shared" si="0"/>
        <v/>
      </c>
      <c r="M43" t="s">
        <v>248</v>
      </c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248</v>
      </c>
      <c r="BJ43" t="s">
        <v>249</v>
      </c>
      <c r="BK43" t="s">
        <v>614</v>
      </c>
      <c r="BL43" t="str">
        <f t="shared" si="1"/>
        <v/>
      </c>
      <c r="BM43" t="str">
        <f t="shared" si="2"/>
        <v/>
      </c>
      <c r="BN43" t="str">
        <f t="shared" si="3"/>
        <v>F00000SCLE%7C</v>
      </c>
      <c r="BO43" t="str">
        <f t="shared" si="4"/>
        <v>10000%7C</v>
      </c>
    </row>
    <row r="44" spans="1:67" x14ac:dyDescent="0.3">
      <c r="A44" s="3"/>
      <c r="B44" s="5" t="str">
        <f>IF($A44="","",IFERROR(IF(INDEX('Fondos Estrella'!$G:$G,MATCH($A44,'Fondos Estrella'!$A:$A,0))=0,"Sin dato",INDEX('Fondos Estrella'!$G:$G,MATCH($A44,'Fondos Estrella'!$A:$A,0))),IFERROR(IF(INDEX('Fondos Estrella'!$G:$G,MATCH($A44,'Fondos Estrella'!$O:$O,0))=0,"Sin dato",INDEX('Fondos Estrella'!$G:$G,MATCH($A44,'Fondos Estrella'!$O:$O,0))),"No encontrado")))</f>
        <v/>
      </c>
      <c r="C44" s="12"/>
      <c r="D44" s="5" t="str">
        <f t="shared" si="0"/>
        <v/>
      </c>
      <c r="M44" t="s">
        <v>189</v>
      </c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189</v>
      </c>
      <c r="BJ44" t="s">
        <v>191</v>
      </c>
      <c r="BK44" t="s">
        <v>615</v>
      </c>
      <c r="BL44" t="str">
        <f t="shared" si="1"/>
        <v/>
      </c>
      <c r="BM44" t="str">
        <f t="shared" si="2"/>
        <v/>
      </c>
      <c r="BN44" t="str">
        <f t="shared" si="3"/>
        <v>F00000SCLE%7C</v>
      </c>
      <c r="BO44" t="str">
        <f t="shared" si="4"/>
        <v>10000%7C</v>
      </c>
    </row>
    <row r="45" spans="1:67" x14ac:dyDescent="0.3">
      <c r="M45" t="s">
        <v>154</v>
      </c>
      <c r="BI45" t="s">
        <v>154</v>
      </c>
      <c r="BJ45" t="s">
        <v>156</v>
      </c>
      <c r="BK45" t="s">
        <v>616</v>
      </c>
    </row>
    <row r="46" spans="1:67" ht="17.399999999999999" x14ac:dyDescent="0.3">
      <c r="A46" s="25" t="s">
        <v>556</v>
      </c>
      <c r="M46" t="s">
        <v>368</v>
      </c>
      <c r="BI46" t="s">
        <v>368</v>
      </c>
      <c r="BJ46" t="s">
        <v>371</v>
      </c>
      <c r="BK46" t="s">
        <v>617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0.17780000686645508</v>
      </c>
      <c r="M47" t="s">
        <v>207</v>
      </c>
      <c r="BI47" t="s">
        <v>207</v>
      </c>
      <c r="BJ47" t="s">
        <v>209</v>
      </c>
      <c r="BK47" t="s">
        <v>618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0.20499999999999999</v>
      </c>
      <c r="M48" t="s">
        <v>282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0.11350000381469727</v>
      </c>
      <c r="M49" t="s">
        <v>335</v>
      </c>
      <c r="BI49" t="s">
        <v>335</v>
      </c>
      <c r="BJ49" t="s">
        <v>337</v>
      </c>
      <c r="BK49" t="s">
        <v>620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0.12579999923706053</v>
      </c>
      <c r="M50" t="s">
        <v>375</v>
      </c>
      <c r="BI50" t="s">
        <v>375</v>
      </c>
      <c r="BJ50" t="s">
        <v>377</v>
      </c>
      <c r="BK50" t="s">
        <v>621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61</v>
      </c>
      <c r="M51" t="s">
        <v>485</v>
      </c>
      <c r="BI51" t="s">
        <v>485</v>
      </c>
      <c r="BJ51" t="s">
        <v>488</v>
      </c>
      <c r="BK51" t="s">
        <v>622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17.909999847412109</v>
      </c>
      <c r="C52" s="33" t="str">
        <f>IF(AND(ISNUMBER($B52),$B52&gt;20),"Tu cartera tiene un PER demasiado elevado",IF(AND(ISNUMBER($B52),$B52&gt;=16,$B52&lt;=20),"Tu cartera tiene un PER algo elevado",""))</f>
        <v>Tu cartera tiene un PER algo elevado</v>
      </c>
      <c r="M52" t="s">
        <v>122</v>
      </c>
      <c r="BI52" t="s">
        <v>122</v>
      </c>
      <c r="BJ52" t="s">
        <v>124</v>
      </c>
      <c r="BK52" t="s">
        <v>623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0.51999998092651367</v>
      </c>
      <c r="M53" t="s">
        <v>180</v>
      </c>
      <c r="BI53" t="s">
        <v>180</v>
      </c>
      <c r="BJ53" t="s">
        <v>182</v>
      </c>
      <c r="BK53" t="s">
        <v>624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13.310000419616699</v>
      </c>
      <c r="M54" t="s">
        <v>475</v>
      </c>
      <c r="BI54" t="s">
        <v>475</v>
      </c>
      <c r="BJ54" t="s">
        <v>477</v>
      </c>
      <c r="BK54" t="s">
        <v>625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0.2</v>
      </c>
      <c r="M55" t="s">
        <v>468</v>
      </c>
      <c r="BI55" t="s">
        <v>468</v>
      </c>
      <c r="BJ55" t="s">
        <v>471</v>
      </c>
      <c r="BK55" t="s">
        <v>626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0.14000000059604645</v>
      </c>
      <c r="M56" t="s">
        <v>74</v>
      </c>
      <c r="BI56" t="s">
        <v>74</v>
      </c>
      <c r="BJ56" t="s">
        <v>76</v>
      </c>
      <c r="BK56" t="s">
        <v>627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1.0199999809265137</v>
      </c>
      <c r="M57" t="s">
        <v>87</v>
      </c>
      <c r="BI57" t="s">
        <v>87</v>
      </c>
      <c r="BJ57" t="s">
        <v>89</v>
      </c>
      <c r="BK57" t="s">
        <v>628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99</v>
      </c>
      <c r="C58" s="33" t="str">
        <f>IF(AND(ISNUMBER($B58),$B58&lt;90),"Tu cartera aprovecha poco las subidas en relación con los fondos de su categoria","")</f>
        <v/>
      </c>
      <c r="M58" t="s">
        <v>501</v>
      </c>
      <c r="BI58" t="s">
        <v>501</v>
      </c>
      <c r="BJ58" t="s">
        <v>504</v>
      </c>
      <c r="BK58" t="s">
        <v>629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101</v>
      </c>
      <c r="C59" s="33" t="str">
        <f>IF(AND(ISNUMBER($B59),$B59&gt;105),"Tu cartera sufre demasiado las bajadas en relación con los fondos de su categoria","")</f>
        <v/>
      </c>
      <c r="M59" t="s">
        <v>160</v>
      </c>
      <c r="BI59" t="s">
        <v>160</v>
      </c>
      <c r="BJ59" t="s">
        <v>162</v>
      </c>
      <c r="BK59" t="s">
        <v>630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-0.12479999542236328</v>
      </c>
      <c r="M60" t="s">
        <v>312</v>
      </c>
      <c r="BI60" t="s">
        <v>312</v>
      </c>
      <c r="BJ60" t="s">
        <v>314</v>
      </c>
      <c r="BK60" t="s">
        <v>631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-7.9600000381469721E-2</v>
      </c>
      <c r="M61" t="s">
        <v>354</v>
      </c>
      <c r="BI61" t="s">
        <v>354</v>
      </c>
      <c r="BJ61" t="s">
        <v>356</v>
      </c>
      <c r="BK61" t="s">
        <v>632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0.97790000915527342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M62" t="s">
        <v>434</v>
      </c>
      <c r="BI62" t="s">
        <v>434</v>
      </c>
      <c r="BJ62" t="s">
        <v>437</v>
      </c>
      <c r="BK62" t="s">
        <v>633</v>
      </c>
    </row>
    <row r="63" spans="1:63" x14ac:dyDescent="0.3">
      <c r="A63" s="28" t="s">
        <v>564</v>
      </c>
      <c r="B63" s="36" t="str">
        <f>IFERROR(SUMPRODUCT($C$5:$C$44,$AD$5:$AD$44)/SUMPRODUCT($C$5:$C$44,--ISNUMBER($AD$5:$AD$44)),"")</f>
        <v/>
      </c>
      <c r="M63" t="s">
        <v>157</v>
      </c>
      <c r="BI63" t="s">
        <v>157</v>
      </c>
      <c r="BJ63" t="s">
        <v>159</v>
      </c>
      <c r="BK63" t="s">
        <v>634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</v>
      </c>
      <c r="M64" t="s">
        <v>428</v>
      </c>
      <c r="BI64" t="s">
        <v>428</v>
      </c>
      <c r="BJ64" t="s">
        <v>430</v>
      </c>
      <c r="BK64" t="s">
        <v>635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0.76400001525878902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>Estás sobreponderando significativamente EEUU. Una concentración excesiva en este mercado aumenta la dependencia de tu cartera de su evolución y puede elevar el riesgo.</v>
      </c>
      <c r="M65" t="s">
        <v>453</v>
      </c>
      <c r="BI65" t="s">
        <v>453</v>
      </c>
      <c r="BJ65" t="s">
        <v>456</v>
      </c>
      <c r="BK65" t="s">
        <v>636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0.14880000114440917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>Estás infraponderando significativamente Europa, lo que reduce tu exposición a este mercado y a las oportunidades que pueda ofrecer.</v>
      </c>
      <c r="M66" t="s">
        <v>349</v>
      </c>
      <c r="BI66" t="s">
        <v>349</v>
      </c>
      <c r="BJ66" t="s">
        <v>350</v>
      </c>
      <c r="BK66" t="s">
        <v>637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8.1899995803833003E-2</v>
      </c>
      <c r="M67" t="s">
        <v>112</v>
      </c>
      <c r="BI67" t="s">
        <v>112</v>
      </c>
      <c r="BJ67" t="s">
        <v>114</v>
      </c>
      <c r="BK67" t="s">
        <v>638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5.199999809265137E-3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>Estás infraponderando significativamente los mercados emergentes, por lo que tendrás menor exposición a su potencial de crecimiento y a las oportunidades que puedan surgir en estas economías.</v>
      </c>
      <c r="M68" t="s">
        <v>100</v>
      </c>
      <c r="BI68" t="s">
        <v>100</v>
      </c>
      <c r="BJ68" t="s">
        <v>102</v>
      </c>
      <c r="BK68" t="s">
        <v>639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0.31209999084472656</v>
      </c>
      <c r="C69" s="33" t="str">
        <f t="shared" ref="C69:C79" si="5">IF(AND(ISNUMBER($B69),$B69&gt;=0.2),"Podría ser que estuvieras demasiado expuesto a este sector","")</f>
        <v>Podría ser que estuvieras demasiado expuesto a este sector</v>
      </c>
      <c r="M69" t="s">
        <v>136</v>
      </c>
      <c r="BI69" t="s">
        <v>136</v>
      </c>
      <c r="BJ69" t="s">
        <v>138</v>
      </c>
      <c r="BK69" t="s">
        <v>640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9.7399997711181643E-2</v>
      </c>
      <c r="C70" s="33" t="str">
        <f t="shared" si="5"/>
        <v/>
      </c>
      <c r="M70" t="s">
        <v>378</v>
      </c>
      <c r="BI70" t="s">
        <v>378</v>
      </c>
      <c r="BJ70" t="s">
        <v>380</v>
      </c>
      <c r="BK70" t="s">
        <v>641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0.15689999580383301</v>
      </c>
      <c r="C71" s="33" t="str">
        <f t="shared" si="5"/>
        <v/>
      </c>
      <c r="M71" t="s">
        <v>300</v>
      </c>
      <c r="BI71" t="s">
        <v>300</v>
      </c>
      <c r="BJ71" t="s">
        <v>303</v>
      </c>
      <c r="BK71" t="s">
        <v>642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8.1599998474121097E-2</v>
      </c>
      <c r="C72" s="33" t="str">
        <f t="shared" si="5"/>
        <v/>
      </c>
      <c r="M72" t="s">
        <v>201</v>
      </c>
      <c r="BI72" t="s">
        <v>201</v>
      </c>
      <c r="BJ72" t="s">
        <v>203</v>
      </c>
      <c r="BK72" t="s">
        <v>643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2.9500000476837158E-2</v>
      </c>
      <c r="C73" s="33" t="str">
        <f t="shared" si="5"/>
        <v/>
      </c>
      <c r="M73" t="s">
        <v>472</v>
      </c>
      <c r="BI73" t="s">
        <v>472</v>
      </c>
      <c r="BJ73" t="s">
        <v>474</v>
      </c>
      <c r="BK73" t="s">
        <v>644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5.059999942779541E-2</v>
      </c>
      <c r="C74" s="33" t="str">
        <f t="shared" si="5"/>
        <v/>
      </c>
      <c r="M74" t="s">
        <v>177</v>
      </c>
      <c r="BI74" t="s">
        <v>177</v>
      </c>
      <c r="BJ74" t="s">
        <v>179</v>
      </c>
      <c r="BK74" t="s">
        <v>645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4.4299998283386231E-2</v>
      </c>
      <c r="C75" s="33" t="str">
        <f t="shared" si="5"/>
        <v/>
      </c>
      <c r="M75" t="s">
        <v>234</v>
      </c>
      <c r="BI75" t="s">
        <v>234</v>
      </c>
      <c r="BJ75" t="s">
        <v>237</v>
      </c>
      <c r="BK75" t="s">
        <v>646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8.619999885559082E-2</v>
      </c>
      <c r="C76" s="33" t="str">
        <f t="shared" si="5"/>
        <v/>
      </c>
      <c r="M76" t="s">
        <v>139</v>
      </c>
      <c r="BI76" t="s">
        <v>139</v>
      </c>
      <c r="BJ76" t="s">
        <v>141</v>
      </c>
      <c r="BK76" t="s">
        <v>647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0.10249999999999999</v>
      </c>
      <c r="C77" s="33" t="str">
        <f t="shared" si="5"/>
        <v/>
      </c>
      <c r="M77" t="s">
        <v>464</v>
      </c>
      <c r="BI77" t="s">
        <v>464</v>
      </c>
      <c r="BJ77" t="s">
        <v>467</v>
      </c>
      <c r="BK77" t="s">
        <v>648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1.590000033378601E-2</v>
      </c>
      <c r="C78" s="33" t="str">
        <f t="shared" si="5"/>
        <v/>
      </c>
      <c r="M78" t="s">
        <v>106</v>
      </c>
      <c r="BI78" t="s">
        <v>106</v>
      </c>
      <c r="BJ78" t="s">
        <v>108</v>
      </c>
      <c r="BK78" t="s">
        <v>649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2.309999942779541E-2</v>
      </c>
      <c r="C79" s="33" t="str">
        <f t="shared" si="5"/>
        <v/>
      </c>
      <c r="M79" t="s">
        <v>174</v>
      </c>
      <c r="BI79" t="s">
        <v>174</v>
      </c>
      <c r="BJ79" t="s">
        <v>176</v>
      </c>
      <c r="BK79" t="s">
        <v>650</v>
      </c>
    </row>
    <row r="80" spans="1:63" x14ac:dyDescent="0.3">
      <c r="M80" t="s">
        <v>57</v>
      </c>
      <c r="BI80" t="s">
        <v>57</v>
      </c>
      <c r="BJ80" t="s">
        <v>60</v>
      </c>
      <c r="BK80" t="s">
        <v>651</v>
      </c>
    </row>
    <row r="81" spans="13:63" x14ac:dyDescent="0.3">
      <c r="M81" t="s">
        <v>67</v>
      </c>
      <c r="BI81" t="s">
        <v>67</v>
      </c>
      <c r="BJ81" t="s">
        <v>69</v>
      </c>
      <c r="BK81" t="s">
        <v>652</v>
      </c>
    </row>
    <row r="82" spans="13:63" x14ac:dyDescent="0.3">
      <c r="M82" t="s">
        <v>198</v>
      </c>
      <c r="BI82" t="s">
        <v>198</v>
      </c>
      <c r="BJ82" t="s">
        <v>200</v>
      </c>
      <c r="BK82" t="s">
        <v>653</v>
      </c>
    </row>
    <row r="83" spans="13:63" x14ac:dyDescent="0.3">
      <c r="M83" t="s">
        <v>134</v>
      </c>
      <c r="BI83" t="s">
        <v>134</v>
      </c>
      <c r="BJ83" t="s">
        <v>135</v>
      </c>
      <c r="BK83" t="s">
        <v>654</v>
      </c>
    </row>
    <row r="84" spans="13:63" x14ac:dyDescent="0.3">
      <c r="M84" t="s">
        <v>115</v>
      </c>
      <c r="BI84" t="s">
        <v>115</v>
      </c>
      <c r="BJ84" t="s">
        <v>117</v>
      </c>
      <c r="BK84" t="s">
        <v>655</v>
      </c>
    </row>
    <row r="85" spans="13:63" x14ac:dyDescent="0.3">
      <c r="M85" t="s">
        <v>51</v>
      </c>
      <c r="BI85" t="s">
        <v>51</v>
      </c>
      <c r="BJ85" t="s">
        <v>53</v>
      </c>
      <c r="BK85" t="s">
        <v>656</v>
      </c>
    </row>
    <row r="86" spans="13:63" x14ac:dyDescent="0.3">
      <c r="M86" t="s">
        <v>288</v>
      </c>
      <c r="BI86" t="s">
        <v>288</v>
      </c>
      <c r="BJ86" t="s">
        <v>290</v>
      </c>
      <c r="BK86" t="s">
        <v>657</v>
      </c>
    </row>
    <row r="87" spans="13:63" x14ac:dyDescent="0.3">
      <c r="M87" t="s">
        <v>519</v>
      </c>
      <c r="BI87" t="s">
        <v>519</v>
      </c>
      <c r="BJ87" t="s">
        <v>521</v>
      </c>
      <c r="BK87" t="s">
        <v>658</v>
      </c>
    </row>
    <row r="88" spans="13:63" x14ac:dyDescent="0.3">
      <c r="M88" t="s">
        <v>70</v>
      </c>
      <c r="BI88" t="s">
        <v>70</v>
      </c>
      <c r="BJ88" t="s">
        <v>73</v>
      </c>
      <c r="BK88" t="s">
        <v>659</v>
      </c>
    </row>
    <row r="89" spans="13:63" x14ac:dyDescent="0.3">
      <c r="M89" t="s">
        <v>257</v>
      </c>
      <c r="BI89" t="s">
        <v>257</v>
      </c>
      <c r="BJ89" t="s">
        <v>259</v>
      </c>
      <c r="BK89" t="s">
        <v>660</v>
      </c>
    </row>
    <row r="90" spans="13:63" x14ac:dyDescent="0.3">
      <c r="M90" t="s">
        <v>266</v>
      </c>
      <c r="BI90" t="s">
        <v>266</v>
      </c>
      <c r="BJ90" t="s">
        <v>267</v>
      </c>
      <c r="BK90" t="s">
        <v>661</v>
      </c>
    </row>
    <row r="91" spans="13:63" x14ac:dyDescent="0.3">
      <c r="M91" t="s">
        <v>338</v>
      </c>
      <c r="BI91" t="s">
        <v>338</v>
      </c>
      <c r="BJ91" t="s">
        <v>341</v>
      </c>
      <c r="BK91" t="s">
        <v>662</v>
      </c>
    </row>
    <row r="92" spans="13:63" x14ac:dyDescent="0.3">
      <c r="M92" t="s">
        <v>425</v>
      </c>
      <c r="BI92" t="s">
        <v>425</v>
      </c>
      <c r="BJ92" t="s">
        <v>427</v>
      </c>
      <c r="BK92" t="s">
        <v>663</v>
      </c>
    </row>
    <row r="93" spans="13:63" x14ac:dyDescent="0.3">
      <c r="M93" t="s">
        <v>131</v>
      </c>
      <c r="BI93" t="s">
        <v>131</v>
      </c>
      <c r="BJ93" t="s">
        <v>133</v>
      </c>
      <c r="BK93" t="s">
        <v>664</v>
      </c>
    </row>
    <row r="94" spans="13:63" x14ac:dyDescent="0.3">
      <c r="M94" t="s">
        <v>294</v>
      </c>
      <c r="BI94" t="s">
        <v>294</v>
      </c>
      <c r="BJ94" t="s">
        <v>296</v>
      </c>
      <c r="BK94" t="s">
        <v>665</v>
      </c>
    </row>
    <row r="95" spans="13:63" x14ac:dyDescent="0.3">
      <c r="M95" t="s">
        <v>83</v>
      </c>
      <c r="BI95" t="s">
        <v>83</v>
      </c>
      <c r="BJ95" t="s">
        <v>86</v>
      </c>
      <c r="BK95" t="s">
        <v>666</v>
      </c>
    </row>
    <row r="96" spans="13:63" x14ac:dyDescent="0.3">
      <c r="M96" t="s">
        <v>345</v>
      </c>
      <c r="BI96" t="s">
        <v>345</v>
      </c>
      <c r="BJ96" t="s">
        <v>348</v>
      </c>
      <c r="BK96" t="s">
        <v>667</v>
      </c>
    </row>
    <row r="97" spans="13:63" x14ac:dyDescent="0.3">
      <c r="M97" t="s">
        <v>515</v>
      </c>
      <c r="BI97" t="s">
        <v>515</v>
      </c>
      <c r="BJ97" t="s">
        <v>518</v>
      </c>
      <c r="BK97" t="s">
        <v>668</v>
      </c>
    </row>
    <row r="98" spans="13:63" x14ac:dyDescent="0.3">
      <c r="M98" t="s">
        <v>332</v>
      </c>
      <c r="BI98" t="s">
        <v>332</v>
      </c>
      <c r="BJ98" t="s">
        <v>334</v>
      </c>
      <c r="BK98" t="s">
        <v>669</v>
      </c>
    </row>
    <row r="99" spans="13:63" x14ac:dyDescent="0.3">
      <c r="M99" t="s">
        <v>145</v>
      </c>
      <c r="BI99" t="s">
        <v>145</v>
      </c>
      <c r="BJ99" t="s">
        <v>147</v>
      </c>
      <c r="BK99" t="s">
        <v>670</v>
      </c>
    </row>
    <row r="100" spans="13:63" x14ac:dyDescent="0.3">
      <c r="M100" t="s">
        <v>390</v>
      </c>
      <c r="BI100" t="s">
        <v>390</v>
      </c>
      <c r="BJ100" t="s">
        <v>392</v>
      </c>
      <c r="BK100" t="s">
        <v>671</v>
      </c>
    </row>
    <row r="101" spans="13:63" x14ac:dyDescent="0.3">
      <c r="M101" t="s">
        <v>291</v>
      </c>
      <c r="BI101" t="s">
        <v>291</v>
      </c>
      <c r="BJ101" t="s">
        <v>293</v>
      </c>
      <c r="BK101" t="s">
        <v>672</v>
      </c>
    </row>
    <row r="102" spans="13:63" x14ac:dyDescent="0.3">
      <c r="M102" t="s">
        <v>509</v>
      </c>
      <c r="BI102" t="s">
        <v>509</v>
      </c>
      <c r="BJ102" t="s">
        <v>512</v>
      </c>
      <c r="BK102" t="s">
        <v>673</v>
      </c>
    </row>
    <row r="103" spans="13:63" x14ac:dyDescent="0.3">
      <c r="M103" t="s">
        <v>326</v>
      </c>
      <c r="BI103" t="s">
        <v>326</v>
      </c>
      <c r="BJ103" t="s">
        <v>329</v>
      </c>
      <c r="BK103" t="s">
        <v>674</v>
      </c>
    </row>
    <row r="104" spans="13:63" x14ac:dyDescent="0.3">
      <c r="M104" t="s">
        <v>103</v>
      </c>
      <c r="BI104" t="s">
        <v>103</v>
      </c>
      <c r="BJ104" t="s">
        <v>105</v>
      </c>
      <c r="BK104" t="s">
        <v>675</v>
      </c>
    </row>
    <row r="105" spans="13:63" x14ac:dyDescent="0.3">
      <c r="M105" t="s">
        <v>260</v>
      </c>
      <c r="BI105" t="s">
        <v>260</v>
      </c>
      <c r="BJ105" t="s">
        <v>262</v>
      </c>
      <c r="BK105" t="s">
        <v>676</v>
      </c>
    </row>
    <row r="106" spans="13:63" x14ac:dyDescent="0.3">
      <c r="M106" t="s">
        <v>446</v>
      </c>
      <c r="BI106" t="s">
        <v>446</v>
      </c>
      <c r="BJ106" t="s">
        <v>449</v>
      </c>
      <c r="BK106" t="s">
        <v>677</v>
      </c>
    </row>
    <row r="107" spans="13:63" x14ac:dyDescent="0.3">
      <c r="M107" t="s">
        <v>441</v>
      </c>
      <c r="BI107" t="s">
        <v>441</v>
      </c>
      <c r="BJ107" t="s">
        <v>443</v>
      </c>
      <c r="BK107" t="s">
        <v>678</v>
      </c>
    </row>
    <row r="108" spans="13:63" x14ac:dyDescent="0.3">
      <c r="M108" t="s">
        <v>522</v>
      </c>
      <c r="BI108" t="s">
        <v>522</v>
      </c>
      <c r="BJ108" t="s">
        <v>524</v>
      </c>
      <c r="BK108" t="s">
        <v>679</v>
      </c>
    </row>
    <row r="109" spans="13:63" x14ac:dyDescent="0.3">
      <c r="M109" t="s">
        <v>505</v>
      </c>
      <c r="BI109" t="s">
        <v>505</v>
      </c>
      <c r="BJ109" t="s">
        <v>508</v>
      </c>
      <c r="BK109" t="s">
        <v>680</v>
      </c>
    </row>
    <row r="110" spans="13:63" x14ac:dyDescent="0.3">
      <c r="M110" t="s">
        <v>493</v>
      </c>
      <c r="BI110" t="s">
        <v>493</v>
      </c>
      <c r="BJ110" t="s">
        <v>496</v>
      </c>
      <c r="BK110" t="s">
        <v>681</v>
      </c>
    </row>
    <row r="111" spans="13:63" x14ac:dyDescent="0.3">
      <c r="M111" t="s">
        <v>342</v>
      </c>
      <c r="BI111" t="s">
        <v>342</v>
      </c>
      <c r="BJ111" t="s">
        <v>344</v>
      </c>
      <c r="BK111" t="s">
        <v>682</v>
      </c>
    </row>
    <row r="112" spans="13:63" x14ac:dyDescent="0.3">
      <c r="M112" t="s">
        <v>40</v>
      </c>
      <c r="BI112" t="s">
        <v>40</v>
      </c>
      <c r="BJ112" t="s">
        <v>43</v>
      </c>
      <c r="BK112" t="s">
        <v>683</v>
      </c>
    </row>
    <row r="113" spans="13:63" x14ac:dyDescent="0.3">
      <c r="M113" t="s">
        <v>357</v>
      </c>
      <c r="BI113" t="s">
        <v>357</v>
      </c>
      <c r="BJ113" t="s">
        <v>359</v>
      </c>
      <c r="BK113" t="s">
        <v>684</v>
      </c>
    </row>
    <row r="114" spans="13:63" x14ac:dyDescent="0.3">
      <c r="M114" t="s">
        <v>192</v>
      </c>
      <c r="BI114" t="s">
        <v>192</v>
      </c>
      <c r="BJ114" t="s">
        <v>194</v>
      </c>
      <c r="BK114" t="s">
        <v>685</v>
      </c>
    </row>
    <row r="115" spans="13:63" x14ac:dyDescent="0.3">
      <c r="M115" t="s">
        <v>330</v>
      </c>
      <c r="BI115" t="s">
        <v>330</v>
      </c>
      <c r="BJ115" t="s">
        <v>331</v>
      </c>
      <c r="BK115" t="s">
        <v>686</v>
      </c>
    </row>
    <row r="116" spans="13:63" x14ac:dyDescent="0.3">
      <c r="M116" t="s">
        <v>216</v>
      </c>
      <c r="BI116" t="s">
        <v>216</v>
      </c>
      <c r="BJ116" t="s">
        <v>218</v>
      </c>
      <c r="BK116" t="s">
        <v>687</v>
      </c>
    </row>
    <row r="117" spans="13:63" x14ac:dyDescent="0.3">
      <c r="M117" t="s">
        <v>310</v>
      </c>
      <c r="BI117" t="s">
        <v>310</v>
      </c>
      <c r="BJ117" t="s">
        <v>311</v>
      </c>
      <c r="BK117" t="s">
        <v>688</v>
      </c>
    </row>
    <row r="118" spans="13:63" x14ac:dyDescent="0.3">
      <c r="M118" t="s">
        <v>213</v>
      </c>
      <c r="BI118" t="s">
        <v>213</v>
      </c>
      <c r="BJ118" t="s">
        <v>215</v>
      </c>
      <c r="BK118" t="s">
        <v>689</v>
      </c>
    </row>
    <row r="119" spans="13:63" x14ac:dyDescent="0.3">
      <c r="M119" t="s">
        <v>307</v>
      </c>
      <c r="BI119" t="s">
        <v>307</v>
      </c>
      <c r="BJ119" t="s">
        <v>309</v>
      </c>
      <c r="BK119" t="s">
        <v>690</v>
      </c>
    </row>
    <row r="120" spans="13:63" x14ac:dyDescent="0.3">
      <c r="M120" t="s">
        <v>279</v>
      </c>
      <c r="BI120" t="s">
        <v>279</v>
      </c>
      <c r="BJ120" t="s">
        <v>281</v>
      </c>
      <c r="BK120" t="s">
        <v>691</v>
      </c>
    </row>
    <row r="121" spans="13:63" x14ac:dyDescent="0.3">
      <c r="M121" t="s">
        <v>163</v>
      </c>
      <c r="BI121" t="s">
        <v>163</v>
      </c>
      <c r="BJ121" t="s">
        <v>165</v>
      </c>
      <c r="BK121" t="s">
        <v>692</v>
      </c>
    </row>
    <row r="122" spans="13:63" x14ac:dyDescent="0.3">
      <c r="M122" t="s">
        <v>263</v>
      </c>
      <c r="BI122" t="s">
        <v>263</v>
      </c>
      <c r="BJ122" t="s">
        <v>265</v>
      </c>
      <c r="BK122" t="s">
        <v>693</v>
      </c>
    </row>
    <row r="123" spans="13:63" x14ac:dyDescent="0.3">
      <c r="M123" t="s">
        <v>222</v>
      </c>
      <c r="BI123" t="s">
        <v>222</v>
      </c>
      <c r="BJ123" t="s">
        <v>224</v>
      </c>
      <c r="BK123" t="s">
        <v>694</v>
      </c>
    </row>
    <row r="124" spans="13:63" x14ac:dyDescent="0.3">
      <c r="M124" t="s">
        <v>397</v>
      </c>
      <c r="BI124" t="s">
        <v>397</v>
      </c>
      <c r="BJ124" t="s">
        <v>400</v>
      </c>
      <c r="BK124" t="s">
        <v>695</v>
      </c>
    </row>
    <row r="125" spans="13:63" x14ac:dyDescent="0.3">
      <c r="M125" t="s">
        <v>372</v>
      </c>
      <c r="BI125" t="s">
        <v>372</v>
      </c>
      <c r="BJ125" t="s">
        <v>374</v>
      </c>
      <c r="BK125" t="s">
        <v>696</v>
      </c>
    </row>
    <row r="126" spans="13:63" x14ac:dyDescent="0.3">
      <c r="M126" t="s">
        <v>401</v>
      </c>
      <c r="BI126" t="s">
        <v>401</v>
      </c>
      <c r="BJ126" t="s">
        <v>404</v>
      </c>
      <c r="BK126" t="s">
        <v>697</v>
      </c>
    </row>
    <row r="127" spans="13:63" x14ac:dyDescent="0.3">
      <c r="M127" t="s">
        <v>80</v>
      </c>
      <c r="BI127" t="s">
        <v>80</v>
      </c>
      <c r="BJ127" t="s">
        <v>82</v>
      </c>
      <c r="BK127" t="s">
        <v>698</v>
      </c>
    </row>
    <row r="128" spans="13:63" x14ac:dyDescent="0.3">
      <c r="M128" t="s">
        <v>431</v>
      </c>
      <c r="BI128" t="s">
        <v>431</v>
      </c>
      <c r="BJ128" t="s">
        <v>433</v>
      </c>
      <c r="BK128" t="s">
        <v>699</v>
      </c>
    </row>
    <row r="129" spans="13:63" x14ac:dyDescent="0.3">
      <c r="M129" t="s">
        <v>148</v>
      </c>
      <c r="BI129" t="s">
        <v>148</v>
      </c>
      <c r="BJ129" t="s">
        <v>150</v>
      </c>
      <c r="BK129" t="s">
        <v>700</v>
      </c>
    </row>
    <row r="130" spans="13:63" x14ac:dyDescent="0.3">
      <c r="M130" t="s">
        <v>409</v>
      </c>
      <c r="BI130" t="s">
        <v>409</v>
      </c>
      <c r="BJ130" t="s">
        <v>412</v>
      </c>
      <c r="BK130" t="s">
        <v>701</v>
      </c>
    </row>
    <row r="131" spans="13:63" x14ac:dyDescent="0.3">
      <c r="M131" t="s">
        <v>64</v>
      </c>
      <c r="BI131" t="s">
        <v>64</v>
      </c>
      <c r="BJ131" t="s">
        <v>66</v>
      </c>
      <c r="BK131" t="s">
        <v>702</v>
      </c>
    </row>
    <row r="132" spans="13:63" x14ac:dyDescent="0.3">
      <c r="M132" t="s">
        <v>417</v>
      </c>
      <c r="BI132" t="s">
        <v>417</v>
      </c>
      <c r="BJ132" t="s">
        <v>420</v>
      </c>
      <c r="BK132" t="s">
        <v>703</v>
      </c>
    </row>
    <row r="133" spans="13:63" x14ac:dyDescent="0.3">
      <c r="M133" t="s">
        <v>219</v>
      </c>
      <c r="BI133" t="s">
        <v>219</v>
      </c>
      <c r="BJ133" t="s">
        <v>221</v>
      </c>
      <c r="BK133" t="s">
        <v>704</v>
      </c>
    </row>
    <row r="134" spans="13:63" x14ac:dyDescent="0.3">
      <c r="M134" t="s">
        <v>125</v>
      </c>
      <c r="BI134" t="s">
        <v>125</v>
      </c>
      <c r="BJ134" t="s">
        <v>127</v>
      </c>
      <c r="BK134" t="s">
        <v>705</v>
      </c>
    </row>
    <row r="135" spans="13:63" x14ac:dyDescent="0.3">
      <c r="M135" t="s">
        <v>204</v>
      </c>
      <c r="BI135" t="s">
        <v>204</v>
      </c>
      <c r="BJ135" t="s">
        <v>206</v>
      </c>
      <c r="BK135" t="s">
        <v>706</v>
      </c>
    </row>
    <row r="136" spans="13:63" x14ac:dyDescent="0.3">
      <c r="M136" t="s">
        <v>151</v>
      </c>
      <c r="BI136" t="s">
        <v>151</v>
      </c>
      <c r="BJ136" t="s">
        <v>153</v>
      </c>
      <c r="BK136" t="s">
        <v>707</v>
      </c>
    </row>
    <row r="137" spans="13:63" x14ac:dyDescent="0.3">
      <c r="M137" t="s">
        <v>44</v>
      </c>
      <c r="BI137" t="s">
        <v>44</v>
      </c>
      <c r="BJ137" t="s">
        <v>46</v>
      </c>
      <c r="BK137" t="s">
        <v>708</v>
      </c>
    </row>
    <row r="138" spans="13:63" x14ac:dyDescent="0.3">
      <c r="M138" t="s">
        <v>183</v>
      </c>
      <c r="BI138" t="s">
        <v>183</v>
      </c>
      <c r="BJ138" t="s">
        <v>185</v>
      </c>
      <c r="BK138" t="s">
        <v>709</v>
      </c>
    </row>
    <row r="139" spans="13:63" x14ac:dyDescent="0.3">
      <c r="M139" t="s">
        <v>450</v>
      </c>
      <c r="BI139" t="s">
        <v>450</v>
      </c>
      <c r="BJ139" t="s">
        <v>452</v>
      </c>
      <c r="BK139" t="s">
        <v>710</v>
      </c>
    </row>
    <row r="140" spans="13:63" x14ac:dyDescent="0.3">
      <c r="M140" t="s">
        <v>405</v>
      </c>
      <c r="BI140" t="s">
        <v>405</v>
      </c>
      <c r="BJ140" t="s">
        <v>408</v>
      </c>
      <c r="BK140" t="s">
        <v>711</v>
      </c>
    </row>
    <row r="141" spans="13:63" x14ac:dyDescent="0.3">
      <c r="M141" t="s">
        <v>225</v>
      </c>
      <c r="BI141" t="s">
        <v>225</v>
      </c>
      <c r="BJ141" t="s">
        <v>227</v>
      </c>
      <c r="BK141" t="s">
        <v>712</v>
      </c>
    </row>
    <row r="142" spans="13:63" x14ac:dyDescent="0.3">
      <c r="M142" t="s">
        <v>364</v>
      </c>
      <c r="BI142" t="s">
        <v>364</v>
      </c>
      <c r="BJ142" t="s">
        <v>367</v>
      </c>
      <c r="BK142" t="s">
        <v>713</v>
      </c>
    </row>
    <row r="143" spans="13:63" x14ac:dyDescent="0.3">
      <c r="M143" t="s">
        <v>77</v>
      </c>
      <c r="BI143" t="s">
        <v>77</v>
      </c>
      <c r="BJ143" t="s">
        <v>79</v>
      </c>
      <c r="BK143" t="s">
        <v>714</v>
      </c>
    </row>
    <row r="144" spans="13:63" x14ac:dyDescent="0.3">
      <c r="M144" t="s">
        <v>47</v>
      </c>
      <c r="BI144" t="s">
        <v>47</v>
      </c>
      <c r="BJ144" t="s">
        <v>50</v>
      </c>
      <c r="BK144" t="s">
        <v>715</v>
      </c>
    </row>
    <row r="145" spans="13:63" x14ac:dyDescent="0.3">
      <c r="M145" t="s">
        <v>525</v>
      </c>
      <c r="BI145" t="s">
        <v>525</v>
      </c>
      <c r="BJ145" t="s">
        <v>527</v>
      </c>
      <c r="BK145" t="s">
        <v>716</v>
      </c>
    </row>
    <row r="146" spans="13:63" x14ac:dyDescent="0.3">
      <c r="M146" t="s">
        <v>481</v>
      </c>
      <c r="BI146" t="s">
        <v>481</v>
      </c>
      <c r="BJ146" t="s">
        <v>484</v>
      </c>
      <c r="BK146" t="s">
        <v>717</v>
      </c>
    </row>
    <row r="147" spans="13:63" x14ac:dyDescent="0.3">
      <c r="M147" t="s">
        <v>166</v>
      </c>
      <c r="BI147" t="s">
        <v>166</v>
      </c>
      <c r="BJ147" t="s">
        <v>168</v>
      </c>
      <c r="BK147" t="s">
        <v>718</v>
      </c>
    </row>
    <row r="148" spans="13:63" x14ac:dyDescent="0.3">
      <c r="M148" t="s">
        <v>250</v>
      </c>
      <c r="BI148" t="s">
        <v>250</v>
      </c>
      <c r="BJ148" t="s">
        <v>252</v>
      </c>
      <c r="BK148" t="s">
        <v>719</v>
      </c>
    </row>
    <row r="149" spans="13:63" x14ac:dyDescent="0.3">
      <c r="M149" t="s">
        <v>297</v>
      </c>
      <c r="BI149" t="s">
        <v>297</v>
      </c>
      <c r="BJ149" t="s">
        <v>299</v>
      </c>
      <c r="BK149" t="s">
        <v>720</v>
      </c>
    </row>
    <row r="150" spans="13:63" x14ac:dyDescent="0.3">
      <c r="M150" t="s">
        <v>195</v>
      </c>
      <c r="BI150" t="s">
        <v>195</v>
      </c>
      <c r="BJ150" t="s">
        <v>197</v>
      </c>
      <c r="BK150" t="s">
        <v>721</v>
      </c>
    </row>
    <row r="151" spans="13:63" x14ac:dyDescent="0.3">
      <c r="M151" t="s">
        <v>444</v>
      </c>
      <c r="BI151" t="s">
        <v>444</v>
      </c>
      <c r="BJ151" t="s">
        <v>445</v>
      </c>
      <c r="BK151" t="s">
        <v>722</v>
      </c>
    </row>
    <row r="152" spans="13:63" x14ac:dyDescent="0.3">
      <c r="M152" t="s">
        <v>172</v>
      </c>
      <c r="BI152" t="s">
        <v>172</v>
      </c>
      <c r="BJ152" t="s">
        <v>173</v>
      </c>
      <c r="BK152" t="s">
        <v>723</v>
      </c>
    </row>
    <row r="153" spans="13:63" x14ac:dyDescent="0.3">
      <c r="M153" t="s">
        <v>272</v>
      </c>
      <c r="BI153" t="s">
        <v>272</v>
      </c>
      <c r="BJ153" t="s">
        <v>275</v>
      </c>
      <c r="BK153" t="s">
        <v>724</v>
      </c>
    </row>
    <row r="154" spans="13:63" x14ac:dyDescent="0.3">
      <c r="M154" t="s">
        <v>142</v>
      </c>
      <c r="BI154" t="s">
        <v>142</v>
      </c>
      <c r="BJ154" t="s">
        <v>144</v>
      </c>
      <c r="BK154" t="s">
        <v>725</v>
      </c>
    </row>
    <row r="155" spans="13:63" x14ac:dyDescent="0.3">
      <c r="M155" t="s">
        <v>128</v>
      </c>
      <c r="BI155" t="s">
        <v>128</v>
      </c>
      <c r="BJ155" t="s">
        <v>130</v>
      </c>
      <c r="BK155" t="s">
        <v>726</v>
      </c>
    </row>
  </sheetData>
  <mergeCells count="2">
    <mergeCell ref="F33:H33"/>
    <mergeCell ref="F34:H34"/>
  </mergeCells>
  <conditionalFormatting sqref="B5:B44">
    <cfRule type="expression" dxfId="210" priority="1">
      <formula>AND(ISNUMBER($B5),$B5&gt;0,$B5&lt;15)</formula>
    </cfRule>
    <cfRule type="expression" dxfId="209" priority="2">
      <formula>AND(ISNUMBER($B5),$B5&gt;=15,$B5&lt;30)</formula>
    </cfRule>
    <cfRule type="expression" dxfId="208" priority="3">
      <formula>AND(ISNUMBER($B5),$B5&gt;=30,$B5&lt;60)</formula>
    </cfRule>
    <cfRule type="expression" dxfId="207" priority="4">
      <formula>AND(ISNUMBER($B5),$B5&gt;=60,$B5&lt;85)</formula>
    </cfRule>
    <cfRule type="expression" dxfId="206" priority="5">
      <formula>AND(ISNUMBER($B5),$B5&gt;=85)</formula>
    </cfRule>
  </conditionalFormatting>
  <conditionalFormatting sqref="G5">
    <cfRule type="expression" dxfId="205" priority="6">
      <formula>AND(ISNUMBER($G$5),$G$5&gt;0,$G$5&lt;15)</formula>
    </cfRule>
    <cfRule type="expression" dxfId="204" priority="7">
      <formula>AND(ISNUMBER($G$5),$G$5&gt;=15,$G$5&lt;30)</formula>
    </cfRule>
    <cfRule type="expression" dxfId="203" priority="8">
      <formula>AND(ISNUMBER($G$5),$G$5&gt;=30,$G$5&lt;60)</formula>
    </cfRule>
    <cfRule type="expression" dxfId="202" priority="9">
      <formula>AND(ISNUMBER($G$5),$G$5&gt;=60,$G$5&lt;85)</formula>
    </cfRule>
    <cfRule type="expression" dxfId="201" priority="10">
      <formula>AND(ISNUMBER($G$5),$G$5&gt;=85)</formula>
    </cfRule>
  </conditionalFormatting>
  <conditionalFormatting sqref="B47">
    <cfRule type="expression" dxfId="200" priority="11">
      <formula>AND(ISNUMBER($B47),$B47&gt;=0.15)</formula>
    </cfRule>
    <cfRule type="expression" dxfId="199" priority="12">
      <formula>AND(ISNUMBER($B47),$B47&gt;=0.1,$B47&lt;0.15)</formula>
    </cfRule>
    <cfRule type="expression" dxfId="198" priority="13">
      <formula>AND(ISNUMBER($B47),$B47&gt;=0.05,$B47&lt;0.1)</formula>
    </cfRule>
    <cfRule type="expression" dxfId="197" priority="14">
      <formula>AND(ISNUMBER($B47),$B47&gt;=0,$B47&lt;0.05)</formula>
    </cfRule>
    <cfRule type="expression" dxfId="196" priority="15">
      <formula>AND(ISNUMBER($B47),$B47&lt;0,$B47&gt;=-0.05)</formula>
    </cfRule>
    <cfRule type="expression" dxfId="195" priority="16">
      <formula>AND(ISNUMBER($B47),$B47&lt;-0.05)</formula>
    </cfRule>
  </conditionalFormatting>
  <conditionalFormatting sqref="B48">
    <cfRule type="expression" dxfId="194" priority="17">
      <formula>AND(ISNUMBER($B48),$B48&gt;=0.15)</formula>
    </cfRule>
    <cfRule type="expression" dxfId="193" priority="18">
      <formula>AND(ISNUMBER($B48),$B48&gt;=0.1,$B48&lt;0.15)</formula>
    </cfRule>
    <cfRule type="expression" dxfId="192" priority="19">
      <formula>AND(ISNUMBER($B48),$B48&gt;=0.05,$B48&lt;0.1)</formula>
    </cfRule>
    <cfRule type="expression" dxfId="191" priority="20">
      <formula>AND(ISNUMBER($B48),$B48&gt;=0,$B48&lt;0.05)</formula>
    </cfRule>
    <cfRule type="expression" dxfId="190" priority="21">
      <formula>AND(ISNUMBER($B48),$B48&lt;0,$B48&gt;=-0.05)</formula>
    </cfRule>
    <cfRule type="expression" dxfId="189" priority="22">
      <formula>AND(ISNUMBER($B48),$B48&lt;-0.05)</formula>
    </cfRule>
  </conditionalFormatting>
  <conditionalFormatting sqref="B49">
    <cfRule type="expression" dxfId="188" priority="23">
      <formula>AND(ISNUMBER($B49),$B49&gt;=0.15)</formula>
    </cfRule>
    <cfRule type="expression" dxfId="187" priority="24">
      <formula>AND(ISNUMBER($B49),$B49&gt;=0.1,$B49&lt;0.15)</formula>
    </cfRule>
    <cfRule type="expression" dxfId="186" priority="25">
      <formula>AND(ISNUMBER($B49),$B49&gt;=0.05,$B49&lt;0.1)</formula>
    </cfRule>
    <cfRule type="expression" dxfId="185" priority="26">
      <formula>AND(ISNUMBER($B49),$B49&gt;=0,$B49&lt;0.05)</formula>
    </cfRule>
    <cfRule type="expression" dxfId="184" priority="27">
      <formula>AND(ISNUMBER($B49),$B49&lt;0,$B49&gt;=-0.05)</formula>
    </cfRule>
    <cfRule type="expression" dxfId="183" priority="28">
      <formula>AND(ISNUMBER($B49),$B49&lt;-0.05)</formula>
    </cfRule>
  </conditionalFormatting>
  <conditionalFormatting sqref="B50">
    <cfRule type="expression" dxfId="182" priority="29">
      <formula>AND(ISNUMBER($B50),$B50&gt;=0.15)</formula>
    </cfRule>
    <cfRule type="expression" dxfId="181" priority="30">
      <formula>AND(ISNUMBER($B50),$B50&gt;=0.1,$B50&lt;0.15)</formula>
    </cfRule>
    <cfRule type="expression" dxfId="180" priority="31">
      <formula>AND(ISNUMBER($B50),$B50&gt;=0.05,$B50&lt;0.1)</formula>
    </cfRule>
    <cfRule type="expression" dxfId="179" priority="32">
      <formula>AND(ISNUMBER($B50),$B50&gt;=0,$B50&lt;0.05)</formula>
    </cfRule>
    <cfRule type="expression" dxfId="178" priority="33">
      <formula>AND(ISNUMBER($B50),$B50&lt;0,$B50&gt;=-0.05)</formula>
    </cfRule>
    <cfRule type="expression" dxfId="177" priority="34">
      <formula>AND(ISNUMBER($B50),$B50&lt;-0.05)</formula>
    </cfRule>
  </conditionalFormatting>
  <conditionalFormatting sqref="B51">
    <cfRule type="expression" dxfId="176" priority="35">
      <formula>AND(ISNUMBER($B51),$B51&gt;0,$B51&lt;15)</formula>
    </cfRule>
    <cfRule type="expression" dxfId="175" priority="36">
      <formula>AND(ISNUMBER($B51),$B51&gt;=15,$B51&lt;30)</formula>
    </cfRule>
    <cfRule type="expression" dxfId="174" priority="37">
      <formula>AND(ISNUMBER($B51),$B51&gt;=30,$B51&lt;60)</formula>
    </cfRule>
    <cfRule type="expression" dxfId="173" priority="38">
      <formula>AND(ISNUMBER($B51),$B51&gt;=60,$B51&lt;85)</formula>
    </cfRule>
    <cfRule type="expression" dxfId="172" priority="39">
      <formula>AND(ISNUMBER($B51),$B51&gt;=85)</formula>
    </cfRule>
  </conditionalFormatting>
  <conditionalFormatting sqref="B52">
    <cfRule type="expression" dxfId="171" priority="40">
      <formula>AND(ISNUMBER($B52),$B52&gt;0,$B52&lt;8)</formula>
    </cfRule>
    <cfRule type="expression" dxfId="170" priority="41">
      <formula>AND(ISNUMBER($B52),$B52&gt;=8,$B52&lt;12)</formula>
    </cfRule>
    <cfRule type="expression" dxfId="169" priority="42">
      <formula>AND(ISNUMBER($B52),$B52&gt;=12,$B52&lt;16)</formula>
    </cfRule>
    <cfRule type="expression" dxfId="168" priority="43">
      <formula>AND(ISNUMBER($B52),$B52&gt;=16,$B52&lt;=20)</formula>
    </cfRule>
    <cfRule type="expression" dxfId="167" priority="44">
      <formula>AND(ISNUMBER($B52),$B52&gt;20)</formula>
    </cfRule>
  </conditionalFormatting>
  <conditionalFormatting sqref="B53">
    <cfRule type="expression" dxfId="166" priority="45">
      <formula>AND(ISNUMBER($B53),$B53&lt;0)</formula>
    </cfRule>
    <cfRule type="expression" dxfId="165" priority="46">
      <formula>AND(ISNUMBER($B53),$B53&gt;0,$B53&lt;0.5)</formula>
    </cfRule>
    <cfRule type="expression" dxfId="164" priority="47">
      <formula>AND(ISNUMBER($B53),$B53&gt;=0.5,$B53&lt;1)</formula>
    </cfRule>
    <cfRule type="expression" dxfId="163" priority="48">
      <formula>AND(ISNUMBER($B53),$B53&gt;=1,$B53&lt;=2)</formula>
    </cfRule>
    <cfRule type="expression" dxfId="162" priority="49">
      <formula>AND(ISNUMBER($B53),$B53&gt;2)</formula>
    </cfRule>
  </conditionalFormatting>
  <conditionalFormatting sqref="B54">
    <cfRule type="expression" dxfId="161" priority="50">
      <formula>AND(ISNUMBER($B54),$B54&gt;20)</formula>
    </cfRule>
    <cfRule type="expression" dxfId="160" priority="51">
      <formula>AND(ISNUMBER($B54),$B54&gt;=12,$B54&lt;=20)</formula>
    </cfRule>
    <cfRule type="expression" dxfId="159" priority="52">
      <formula>AND(ISNUMBER($B54),$B54&gt;=7,$B54&lt;12)</formula>
    </cfRule>
    <cfRule type="expression" dxfId="158" priority="53">
      <formula>AND(ISNUMBER($B54),$B54&gt;=3,$B54&lt;7)</formula>
    </cfRule>
    <cfRule type="expression" dxfId="157" priority="54">
      <formula>AND(ISNUMBER($B54),$B54&gt;0,$B54&lt;3)</formula>
    </cfRule>
  </conditionalFormatting>
  <conditionalFormatting sqref="B55">
    <cfRule type="expression" dxfId="156" priority="55">
      <formula>AND(ISNUMBER($B55),$B55&lt;1)</formula>
    </cfRule>
    <cfRule type="expression" dxfId="155" priority="56">
      <formula>AND(ISNUMBER($B55),$B55&gt;=1,$B55&lt;=1.5)</formula>
    </cfRule>
    <cfRule type="expression" dxfId="154" priority="57">
      <formula>AND(ISNUMBER($B55),$B55&gt;1.5,$B55&lt;=2)</formula>
    </cfRule>
    <cfRule type="expression" dxfId="153" priority="58">
      <formula>AND(ISNUMBER($B55),$B55&gt;2)</formula>
    </cfRule>
  </conditionalFormatting>
  <conditionalFormatting sqref="B56">
    <cfRule type="expression" dxfId="152" priority="59">
      <formula>AND(ISNUMBER($B56),$B56&gt;5)</formula>
    </cfRule>
    <cfRule type="expression" dxfId="151" priority="60">
      <formula>AND(ISNUMBER($B56),$B56&gt;=2,$B56&lt;=5)</formula>
    </cfRule>
    <cfRule type="expression" dxfId="150" priority="61">
      <formula>AND(ISNUMBER($B56),$B56&gt;0,$B56&lt;2)</formula>
    </cfRule>
    <cfRule type="expression" dxfId="149" priority="62">
      <formula>AND(ISNUMBER($B56),$B56&lt;0,$B56&gt;=-3)</formula>
    </cfRule>
    <cfRule type="expression" dxfId="148" priority="63">
      <formula>AND(ISNUMBER($B56),$B56&lt;-3)</formula>
    </cfRule>
  </conditionalFormatting>
  <conditionalFormatting sqref="B58">
    <cfRule type="expression" dxfId="147" priority="64">
      <formula>AND(ISNUMBER($B58),$B58&gt;=100)</formula>
    </cfRule>
    <cfRule type="expression" dxfId="146" priority="65">
      <formula>AND(ISNUMBER($B58),$B58&lt;100)</formula>
    </cfRule>
  </conditionalFormatting>
  <conditionalFormatting sqref="B58">
    <cfRule type="expression" dxfId="145" priority="66">
      <formula>AND(ISNUMBER($B58),$B58&lt;90)</formula>
    </cfRule>
  </conditionalFormatting>
  <conditionalFormatting sqref="B59">
    <cfRule type="expression" dxfId="144" priority="67">
      <formula>AND(ISNUMBER($B59),$B59&lt;=100)</formula>
    </cfRule>
    <cfRule type="expression" dxfId="143" priority="68">
      <formula>AND(ISNUMBER($B59),$B59&gt;100)</formula>
    </cfRule>
  </conditionalFormatting>
  <conditionalFormatting sqref="B60">
    <cfRule type="expression" dxfId="142" priority="69">
      <formula>AND(ISNUMBER($B60),ISNUMBER($B61),$B60&gt;$B61)</formula>
    </cfRule>
    <cfRule type="expression" dxfId="141" priority="70">
      <formula>AND(ISNUMBER($B60),ISNUMBER($B61),$B60&lt;$B61)</formula>
    </cfRule>
  </conditionalFormatting>
  <conditionalFormatting sqref="B62">
    <cfRule type="expression" dxfId="140" priority="71">
      <formula>AND(ISNUMBER($B62),OR($B62&lt;0.3,$B62&gt;0.8))</formula>
    </cfRule>
  </conditionalFormatting>
  <conditionalFormatting sqref="B64">
    <cfRule type="expression" dxfId="139" priority="72">
      <formula>AND(ISNUMBER($B64),ROUND($B64,0)=5)</formula>
    </cfRule>
    <cfRule type="expression" dxfId="138" priority="73">
      <formula>AND(ISNUMBER($B64),ROUND($B64,0)=4)</formula>
    </cfRule>
    <cfRule type="expression" dxfId="137" priority="74">
      <formula>AND(ISNUMBER($B64),ROUND($B64,0)=3)</formula>
    </cfRule>
    <cfRule type="expression" dxfId="136" priority="75">
      <formula>AND(ISNUMBER($B64),ROUND($B64,0)=2)</formula>
    </cfRule>
    <cfRule type="expression" dxfId="135" priority="76">
      <formula>AND(ISNUMBER($B64),ROUND($B64,0)=1)</formula>
    </cfRule>
  </conditionalFormatting>
  <conditionalFormatting sqref="B65">
    <cfRule type="expression" dxfId="134" priority="77">
      <formula>AND(ISNUMBER($B65),OR($B65&lt;0.3,$B65&gt;0.7))</formula>
    </cfRule>
    <cfRule type="expression" dxfId="133" priority="78">
      <formula>AND(ISNUMBER($B65),NOT(OR($B65&lt;0.3,$B65&gt;0.7)))</formula>
    </cfRule>
  </conditionalFormatting>
  <conditionalFormatting sqref="B66">
    <cfRule type="expression" dxfId="132" priority="79">
      <formula>AND(ISNUMBER($B66),OR($B66&lt;0.15,$B66&gt;0.45))</formula>
    </cfRule>
    <cfRule type="expression" dxfId="131" priority="80">
      <formula>AND(ISNUMBER($B66),NOT(OR($B66&lt;0.15,$B66&gt;0.45)))</formula>
    </cfRule>
  </conditionalFormatting>
  <conditionalFormatting sqref="B67">
    <cfRule type="expression" dxfId="130" priority="81">
      <formula>AND(ISNUMBER($B67))</formula>
    </cfRule>
  </conditionalFormatting>
  <conditionalFormatting sqref="B68">
    <cfRule type="expression" dxfId="129" priority="82">
      <formula>AND(ISNUMBER($B68),OR($B68&lt;0.1,$B68&gt;0.25))</formula>
    </cfRule>
  </conditionalFormatting>
  <conditionalFormatting sqref="B69">
    <cfRule type="expression" dxfId="128" priority="83">
      <formula>AND(ISNUMBER($B69),$B69&gt;=0.2)</formula>
    </cfRule>
    <cfRule type="expression" dxfId="127" priority="84">
      <formula>AND(ISNUMBER($B69),$B69&gt;0,$B69&lt;0.2)</formula>
    </cfRule>
  </conditionalFormatting>
  <conditionalFormatting sqref="B70">
    <cfRule type="expression" dxfId="126" priority="85">
      <formula>AND(ISNUMBER($B70),$B70&gt;=0.2)</formula>
    </cfRule>
    <cfRule type="expression" dxfId="125" priority="86">
      <formula>AND(ISNUMBER($B70),$B70&gt;0,$B70&lt;0.2)</formula>
    </cfRule>
  </conditionalFormatting>
  <conditionalFormatting sqref="B71">
    <cfRule type="expression" dxfId="124" priority="87">
      <formula>AND(ISNUMBER($B71),$B71&gt;=0.2)</formula>
    </cfRule>
    <cfRule type="expression" dxfId="123" priority="88">
      <formula>AND(ISNUMBER($B71),$B71&gt;0,$B71&lt;0.2)</formula>
    </cfRule>
  </conditionalFormatting>
  <conditionalFormatting sqref="B72">
    <cfRule type="expression" dxfId="122" priority="89">
      <formula>AND(ISNUMBER($B72),$B72&gt;=0.2)</formula>
    </cfRule>
    <cfRule type="expression" dxfId="121" priority="90">
      <formula>AND(ISNUMBER($B72),$B72&gt;0,$B72&lt;0.2)</formula>
    </cfRule>
  </conditionalFormatting>
  <conditionalFormatting sqref="B73">
    <cfRule type="expression" dxfId="120" priority="91">
      <formula>AND(ISNUMBER($B73),$B73&gt;=0.2)</formula>
    </cfRule>
    <cfRule type="expression" dxfId="119" priority="92">
      <formula>AND(ISNUMBER($B73),$B73&gt;0,$B73&lt;0.2)</formula>
    </cfRule>
  </conditionalFormatting>
  <conditionalFormatting sqref="B74">
    <cfRule type="expression" dxfId="118" priority="93">
      <formula>AND(ISNUMBER($B74),$B74&gt;=0.2)</formula>
    </cfRule>
    <cfRule type="expression" dxfId="117" priority="94">
      <formula>AND(ISNUMBER($B74),$B74&gt;0,$B74&lt;0.2)</formula>
    </cfRule>
  </conditionalFormatting>
  <conditionalFormatting sqref="B75">
    <cfRule type="expression" dxfId="116" priority="95">
      <formula>AND(ISNUMBER($B75),$B75&gt;=0.2)</formula>
    </cfRule>
    <cfRule type="expression" dxfId="115" priority="96">
      <formula>AND(ISNUMBER($B75),$B75&gt;0,$B75&lt;0.2)</formula>
    </cfRule>
  </conditionalFormatting>
  <conditionalFormatting sqref="B76">
    <cfRule type="expression" dxfId="114" priority="97">
      <formula>AND(ISNUMBER($B76),$B76&gt;=0.2)</formula>
    </cfRule>
    <cfRule type="expression" dxfId="113" priority="98">
      <formula>AND(ISNUMBER($B76),$B76&gt;0,$B76&lt;0.2)</formula>
    </cfRule>
  </conditionalFormatting>
  <conditionalFormatting sqref="B77">
    <cfRule type="expression" dxfId="112" priority="99">
      <formula>AND(ISNUMBER($B77),$B77&gt;=0.2)</formula>
    </cfRule>
    <cfRule type="expression" dxfId="111" priority="100">
      <formula>AND(ISNUMBER($B77),$B77&gt;0,$B77&lt;0.2)</formula>
    </cfRule>
  </conditionalFormatting>
  <conditionalFormatting sqref="B78">
    <cfRule type="expression" dxfId="110" priority="101">
      <formula>AND(ISNUMBER($B78),$B78&gt;=0.2)</formula>
    </cfRule>
    <cfRule type="expression" dxfId="109" priority="102">
      <formula>AND(ISNUMBER($B78),$B78&gt;0,$B78&lt;0.2)</formula>
    </cfRule>
  </conditionalFormatting>
  <conditionalFormatting sqref="B79">
    <cfRule type="expression" dxfId="108" priority="103">
      <formula>AND(ISNUMBER($B79),$B79&gt;=0.2)</formula>
    </cfRule>
    <cfRule type="expression" dxfId="107" priority="104">
      <formula>AND(ISNUMBER($B79),$B79&gt;0,$B79&lt;0.2)</formula>
    </cfRule>
  </conditionalFormatting>
  <dataValidations count="1">
    <dataValidation type="list" allowBlank="1" showInputMessage="1" promptTitle="Fondo / ISIN" prompt="Elige un fondo de la lista o escribe su nombre o ISIN." sqref="A5:A44">
      <formula1>$M$5:$M$155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O155"/>
  <sheetViews>
    <sheetView workbookViewId="0">
      <selection activeCell="F37" sqref="F37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727</v>
      </c>
    </row>
    <row r="2" spans="1:67" x14ac:dyDescent="0.3">
      <c r="A2" s="43" t="s">
        <v>728</v>
      </c>
    </row>
    <row r="4" spans="1:67" x14ac:dyDescent="0.3">
      <c r="A4" s="1" t="s">
        <v>531</v>
      </c>
      <c r="B4" s="1" t="s">
        <v>5</v>
      </c>
      <c r="C4" s="1" t="s">
        <v>38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118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46</v>
      </c>
      <c r="C5" s="12">
        <v>0.16456882655620575</v>
      </c>
      <c r="D5" s="5">
        <f t="shared" ref="D5:D38" si="0">IF(AND(ISNUMBER($B5),ISNUMBER($C5)),$B5*$C5,"")</f>
        <v>7.5701660215854645</v>
      </c>
      <c r="F5" s="28" t="s">
        <v>536</v>
      </c>
      <c r="G5" s="29">
        <f>IFERROR(SUM($D$5:$D$44)/SUMPRODUCT(--ISNUMBER($B$5:$B$44),$C$5:$C$44),"")</f>
        <v>66.614410675272367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9.7100000381469723E-2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0.1418000030517578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0.10739999771118164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0.10720000267028809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46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13.079999923706055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0.93000000715255737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9.369999885559082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1.38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6.2399997711181641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0.79000002145767212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104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44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-6.650000095367431E-2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-0.13649999618530273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0.69150001525878901</v>
      </c>
      <c r="AD5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>0.25139999389648438</v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5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0.24780000686645509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0.58009998321533207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0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0.17229999542236329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0.19969999313354492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9.800000190734863E-2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0.11100000381469727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3.5799999237060544E-2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6.8299999237060552E-2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2.2799999713897706E-2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0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0.23129999160766601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0.20219999313354492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3.0899999141693116E-2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0</v>
      </c>
      <c r="BI5" t="s">
        <v>368</v>
      </c>
      <c r="BJ5" t="s">
        <v>371</v>
      </c>
      <c r="BK5" t="s">
        <v>617</v>
      </c>
      <c r="BL5" t="str">
        <f t="shared" ref="BL5:BL44" si="1">IF($A5="","",IFERROR(INDEX($BK$5:$BK$155,MATCH($A5,$BI$5:$BI$155,0))&amp;"",IFERROR(INDEX($BK$5:$BK$155,MATCH($A5,$BJ$5:$BJ$155,0))&amp;"","")))</f>
        <v>F00001B0AP</v>
      </c>
      <c r="BM5">
        <f t="shared" ref="BM5:BM44" si="2">IF(AND(LEN($BL5)&gt;0,ISNUMBER($C5),$C5&gt;0),ROUND($C5/SUMPRODUCT(--(LEN($BL$5:$BL$44)&gt;0),$C$5:$C$44)*10000,0),"")</f>
        <v>1644</v>
      </c>
      <c r="BN5" t="str">
        <f>IF(AND(LEN($BL5)&gt;0,ISNUMBER($C5),$C5&gt;0),$BL5&amp;"%7C","")</f>
        <v>F00001B0AP%7C</v>
      </c>
      <c r="BO5" t="str">
        <f>IF(AND(LEN($BL5)&gt;0,ISNUMBER($C5),$C5&gt;0),$BM5&amp;"%7C","")</f>
        <v>1644%7C</v>
      </c>
    </row>
    <row r="6" spans="1:67" x14ac:dyDescent="0.3">
      <c r="A6" s="3" t="s">
        <v>241</v>
      </c>
      <c r="B6" s="5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>69</v>
      </c>
      <c r="C6" s="12">
        <v>0.15855956077575684</v>
      </c>
      <c r="D6" s="5">
        <f t="shared" si="0"/>
        <v>10.940609693527222</v>
      </c>
      <c r="F6" s="30" t="s">
        <v>537</v>
      </c>
      <c r="G6" s="31">
        <f>SUM($C$5:$C$44)</f>
        <v>1.0009966875184326</v>
      </c>
      <c r="N6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>0.40759998321533203</v>
      </c>
      <c r="O6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>0.19690000534057617</v>
      </c>
      <c r="P6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>0.19370000839233398</v>
      </c>
      <c r="Q6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>0.12710000038146974</v>
      </c>
      <c r="R6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>69</v>
      </c>
      <c r="S6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>11.819999694824219</v>
      </c>
      <c r="T6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>0.77999997138977051</v>
      </c>
      <c r="U6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>16.260000228881836</v>
      </c>
      <c r="V6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>1.89</v>
      </c>
      <c r="W6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>9.9099998474121094</v>
      </c>
      <c r="X6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>0.67000001668930054</v>
      </c>
      <c r="Y6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>99</v>
      </c>
      <c r="Z6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>56</v>
      </c>
      <c r="AA6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>-0.12640000343322755</v>
      </c>
      <c r="AB6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>-0.29219999313354494</v>
      </c>
      <c r="AC6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>0.9005000305175781</v>
      </c>
      <c r="AD6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>7.8299999237060547E-2</v>
      </c>
      <c r="AE6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>4</v>
      </c>
      <c r="AF6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>0.3958000183105469</v>
      </c>
      <c r="AG6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>0.4115999984741211</v>
      </c>
      <c r="AH6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>4.8600001335144041E-2</v>
      </c>
      <c r="AI6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>0.14399999618530274</v>
      </c>
      <c r="AJ6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>2.0999999344348905E-3</v>
      </c>
      <c r="AK6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>1.6100000143051147E-2</v>
      </c>
      <c r="AL6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>5.6599998474121095E-2</v>
      </c>
      <c r="AM6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>0.01</v>
      </c>
      <c r="AN6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>0.23719999313354492</v>
      </c>
      <c r="AO6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>6.6199998855590816E-2</v>
      </c>
      <c r="AP6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>0.45849998474121095</v>
      </c>
      <c r="AQ6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>0.06</v>
      </c>
      <c r="AR6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>4.6199998855590819E-2</v>
      </c>
      <c r="AS6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>1.0599999427795411E-2</v>
      </c>
      <c r="AT6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>3.6500000953674318E-2</v>
      </c>
      <c r="BI6" t="s">
        <v>372</v>
      </c>
      <c r="BJ6" t="s">
        <v>374</v>
      </c>
      <c r="BK6" t="s">
        <v>696</v>
      </c>
      <c r="BL6" t="str">
        <f t="shared" si="1"/>
        <v>F00000WI0D</v>
      </c>
      <c r="BM6">
        <f t="shared" si="2"/>
        <v>1584</v>
      </c>
      <c r="BN6" t="str">
        <f t="shared" ref="BN6:BN44" si="3">$BN5&amp;IF(AND(LEN($BL6)&gt;0,ISNUMBER($C6),$C6&gt;0),$BL6&amp;"%7C","")</f>
        <v>F00001B0AP%7CF00000WI0D%7C</v>
      </c>
      <c r="BO6" t="str">
        <f t="shared" ref="BO6:BO44" si="4">$BO5&amp;IF(AND(LEN($BL6)&gt;0,ISNUMBER($C6),$C6&gt;0),$BM6&amp;"%7C","")</f>
        <v>1644%7C1584%7C</v>
      </c>
    </row>
    <row r="7" spans="1:67" x14ac:dyDescent="0.3">
      <c r="A7" s="3" t="s">
        <v>245</v>
      </c>
      <c r="B7" s="5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>83</v>
      </c>
      <c r="C7" s="12">
        <v>0.11175230145454407</v>
      </c>
      <c r="D7" s="5">
        <f t="shared" si="0"/>
        <v>9.2754410207271576</v>
      </c>
      <c r="N7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>0.29819999694824217</v>
      </c>
      <c r="O7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>0.26170000076293948</v>
      </c>
      <c r="P7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>0.17020000457763673</v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>83</v>
      </c>
      <c r="S7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>8.25</v>
      </c>
      <c r="T7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>0.6600000262260437</v>
      </c>
      <c r="U7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>16.360000610351562</v>
      </c>
      <c r="V7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>1.1100000000000001</v>
      </c>
      <c r="W7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>9.3599996566772461</v>
      </c>
      <c r="X7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>0.88999998569488525</v>
      </c>
      <c r="Y7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>112</v>
      </c>
      <c r="Z7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>74</v>
      </c>
      <c r="AA7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>-0.16870000839233398</v>
      </c>
      <c r="AB7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>-0.31540000915527344</v>
      </c>
      <c r="AC7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>0.9529000091552734</v>
      </c>
      <c r="AD7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>1.7500000000000002E-2</v>
      </c>
      <c r="AE7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>5</v>
      </c>
      <c r="AF7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>0.10789999961853028</v>
      </c>
      <c r="AG7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>0.60430000305175779</v>
      </c>
      <c r="AH7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>0.14579999923706055</v>
      </c>
      <c r="AI7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>0.14210000038146972</v>
      </c>
      <c r="AJ7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>2.7699999809265137E-2</v>
      </c>
      <c r="AK7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>7.0999999046325687E-2</v>
      </c>
      <c r="AL7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>0</v>
      </c>
      <c r="AM7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>4.6999999880790707E-3</v>
      </c>
      <c r="AN7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>0.12439999580383301</v>
      </c>
      <c r="AO7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>1.8500000238418579E-2</v>
      </c>
      <c r="AP7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>0.31799999237060544</v>
      </c>
      <c r="AQ7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>0.21690000534057619</v>
      </c>
      <c r="AR7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>0.19540000915527345</v>
      </c>
      <c r="AS7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>2.319999933242798E-2</v>
      </c>
      <c r="AT7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>0</v>
      </c>
      <c r="BI7" t="s">
        <v>375</v>
      </c>
      <c r="BJ7" t="s">
        <v>377</v>
      </c>
      <c r="BK7" t="s">
        <v>621</v>
      </c>
      <c r="BL7" t="str">
        <f t="shared" si="1"/>
        <v>F000016A7T</v>
      </c>
      <c r="BM7">
        <f t="shared" si="2"/>
        <v>1116</v>
      </c>
      <c r="BN7" t="str">
        <f t="shared" si="3"/>
        <v>F00001B0AP%7CF00000WI0D%7CF000016A7T%7C</v>
      </c>
      <c r="BO7" t="str">
        <f t="shared" si="4"/>
        <v>1644%7C1584%7C1116%7C</v>
      </c>
    </row>
    <row r="8" spans="1:67" x14ac:dyDescent="0.3">
      <c r="A8" s="3" t="s">
        <v>148</v>
      </c>
      <c r="B8" s="5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>73</v>
      </c>
      <c r="C8" s="12">
        <v>5.8853618800640106E-2</v>
      </c>
      <c r="D8" s="5">
        <f t="shared" si="0"/>
        <v>4.2963141724467278</v>
      </c>
      <c r="F8" s="27" t="s">
        <v>538</v>
      </c>
      <c r="N8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>0.16979999542236329</v>
      </c>
      <c r="O8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>0.21389999389648437</v>
      </c>
      <c r="P8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>9.7500000000000003E-2</v>
      </c>
      <c r="Q8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>0.11800000190734863</v>
      </c>
      <c r="R8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>73</v>
      </c>
      <c r="S8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>12.039999961853027</v>
      </c>
      <c r="T8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>0.5</v>
      </c>
      <c r="U8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>18.450000762939453</v>
      </c>
      <c r="V8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>1.37</v>
      </c>
      <c r="W8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>2.9500000476837158</v>
      </c>
      <c r="X8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>2.059999942779541</v>
      </c>
      <c r="Y8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>207</v>
      </c>
      <c r="Z8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>206</v>
      </c>
      <c r="AA8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>-0.25629999160766603</v>
      </c>
      <c r="AB8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>-0.13649999618530273</v>
      </c>
      <c r="AC8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>0.97580001831054686</v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>5</v>
      </c>
      <c r="AF8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>0.76139999389648438</v>
      </c>
      <c r="AG8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>0.20770000457763671</v>
      </c>
      <c r="AH8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>0</v>
      </c>
      <c r="AI8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>3.0899999141693116E-2</v>
      </c>
      <c r="AJ8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>2.9900000095367432E-2</v>
      </c>
      <c r="AK8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>6.0100002288818358E-2</v>
      </c>
      <c r="AL8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>0.26450000762939452</v>
      </c>
      <c r="AM8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>4.2399997711181643E-2</v>
      </c>
      <c r="AN8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>6.0799999237060545E-2</v>
      </c>
      <c r="AO8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>2.1199998855590822E-2</v>
      </c>
      <c r="AP8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>3.3699998855590822E-2</v>
      </c>
      <c r="AQ8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>0.12489999771118164</v>
      </c>
      <c r="AR8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>0.13039999961853027</v>
      </c>
      <c r="AS8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>0.23209999084472657</v>
      </c>
      <c r="AT8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>0</v>
      </c>
      <c r="BI8" t="s">
        <v>241</v>
      </c>
      <c r="BJ8" t="s">
        <v>244</v>
      </c>
      <c r="BK8" t="s">
        <v>591</v>
      </c>
      <c r="BL8" t="str">
        <f t="shared" si="1"/>
        <v>F00000VYOL</v>
      </c>
      <c r="BM8">
        <f t="shared" si="2"/>
        <v>588</v>
      </c>
      <c r="BN8" t="str">
        <f t="shared" si="3"/>
        <v>F00001B0AP%7CF00000WI0D%7CF000016A7T%7CF00000VYOL%7C</v>
      </c>
      <c r="BO8" t="str">
        <f t="shared" si="4"/>
        <v>1644%7C1584%7C1116%7C588%7C</v>
      </c>
    </row>
    <row r="9" spans="1:67" x14ac:dyDescent="0.3">
      <c r="A9" s="3" t="s">
        <v>51</v>
      </c>
      <c r="B9" s="5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>69</v>
      </c>
      <c r="C9" s="12">
        <v>4.8215597867965698E-2</v>
      </c>
      <c r="D9" s="5">
        <f t="shared" si="0"/>
        <v>3.3268762528896332</v>
      </c>
      <c r="F9" s="43" t="s">
        <v>729</v>
      </c>
      <c r="N9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>0.16780000686645508</v>
      </c>
      <c r="O9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>0.11689999580383301</v>
      </c>
      <c r="P9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>0.13670000076293945</v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>69</v>
      </c>
      <c r="S9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>4.3299999237060547</v>
      </c>
      <c r="T9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>0.61000001430511475</v>
      </c>
      <c r="U9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>12.819999694824219</v>
      </c>
      <c r="V9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>1.95</v>
      </c>
      <c r="W9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>6.9600000381469727</v>
      </c>
      <c r="X9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>0.69999998807907104</v>
      </c>
      <c r="Y9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>90</v>
      </c>
      <c r="Z9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>58</v>
      </c>
      <c r="AA9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>-8.2100000381469723E-2</v>
      </c>
      <c r="AB9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>-0.31540000915527344</v>
      </c>
      <c r="AC9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>0.91370002746582035</v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>4</v>
      </c>
      <c r="AF9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>0.21379999160766602</v>
      </c>
      <c r="AG9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>0.14159999847412108</v>
      </c>
      <c r="AH9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>0.3153000068664551</v>
      </c>
      <c r="AI9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>0.32939998626708983</v>
      </c>
      <c r="AJ9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>4.5900001525878906E-2</v>
      </c>
      <c r="AK9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>0</v>
      </c>
      <c r="AL9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>3.8900001049041746E-2</v>
      </c>
      <c r="AM9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>9.3999996185302734E-2</v>
      </c>
      <c r="AN9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>9.1300001144409185E-2</v>
      </c>
      <c r="AO9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>0.18049999237060546</v>
      </c>
      <c r="AP9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>1.7300000190734865E-2</v>
      </c>
      <c r="AQ9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>0.26090000152587889</v>
      </c>
      <c r="AR9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>0.19340000152587891</v>
      </c>
      <c r="AS9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>5.0399999618530276E-2</v>
      </c>
      <c r="AT9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>2.7200000286102297E-2</v>
      </c>
      <c r="BI9" t="s">
        <v>315</v>
      </c>
      <c r="BJ9" t="s">
        <v>318</v>
      </c>
      <c r="BK9" t="s">
        <v>580</v>
      </c>
      <c r="BL9" t="str">
        <f t="shared" si="1"/>
        <v>F00001T5CZ</v>
      </c>
      <c r="BM9">
        <f t="shared" si="2"/>
        <v>482</v>
      </c>
      <c r="BN9" t="str">
        <f t="shared" si="3"/>
        <v>F00001B0AP%7CF00000WI0D%7CF000016A7T%7CF00000VYOL%7CF00001T5CZ%7C</v>
      </c>
      <c r="BO9" t="str">
        <f t="shared" si="4"/>
        <v>1644%7C1584%7C1116%7C588%7C482%7C</v>
      </c>
    </row>
    <row r="10" spans="1:67" x14ac:dyDescent="0.3">
      <c r="A10" s="3" t="s">
        <v>378</v>
      </c>
      <c r="B10" s="5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>71</v>
      </c>
      <c r="C10" s="12">
        <v>4.53602634370327E-2</v>
      </c>
      <c r="D10" s="5">
        <f t="shared" si="0"/>
        <v>3.2205787040293217</v>
      </c>
      <c r="F10" s="43" t="s">
        <v>730</v>
      </c>
      <c r="N10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>0.20790000915527343</v>
      </c>
      <c r="O10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>0.25120000839233397</v>
      </c>
      <c r="P10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>0.15220000267028808</v>
      </c>
      <c r="Q10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>0.20770000457763671</v>
      </c>
      <c r="R10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>71</v>
      </c>
      <c r="S10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>18.469999313354492</v>
      </c>
      <c r="T10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>0.61000001430511475</v>
      </c>
      <c r="U10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>17.440000534057617</v>
      </c>
      <c r="V10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>1</v>
      </c>
      <c r="W10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>-0.95999997854232788</v>
      </c>
      <c r="X10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>0.73000001907348633</v>
      </c>
      <c r="Y10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>75</v>
      </c>
      <c r="Z10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>76</v>
      </c>
      <c r="AA10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>-0.15149999618530274</v>
      </c>
      <c r="AB10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>-0.11590000152587891</v>
      </c>
      <c r="AC10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>0.96900001525878909</v>
      </c>
      <c r="AD10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>2.5399999618530275E-2</v>
      </c>
      <c r="AE10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>4</v>
      </c>
      <c r="AF10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>0.55900001525878906</v>
      </c>
      <c r="AG10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>0.16729999542236329</v>
      </c>
      <c r="AH10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>0.18329999923706056</v>
      </c>
      <c r="AI10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>9.0500001907348637E-2</v>
      </c>
      <c r="AJ10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>0.69330001831054688</v>
      </c>
      <c r="AK10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>0</v>
      </c>
      <c r="AL10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>7.9000002145767217E-3</v>
      </c>
      <c r="AM10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>0.14539999961853028</v>
      </c>
      <c r="AN10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>1.1399999856948853E-2</v>
      </c>
      <c r="AO10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>0</v>
      </c>
      <c r="AP10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>5.8999997377395634E-3</v>
      </c>
      <c r="AQ10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>6.6700000762939457E-2</v>
      </c>
      <c r="AR10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>4.2199997901916503E-2</v>
      </c>
      <c r="AS10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>2.7300000190734863E-2</v>
      </c>
      <c r="AT10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>0</v>
      </c>
      <c r="BI10" t="s">
        <v>245</v>
      </c>
      <c r="BJ10" t="s">
        <v>247</v>
      </c>
      <c r="BK10" t="s">
        <v>613</v>
      </c>
      <c r="BL10" t="str">
        <f t="shared" si="1"/>
        <v>F000001ATI</v>
      </c>
      <c r="BM10">
        <f t="shared" si="2"/>
        <v>453</v>
      </c>
      <c r="BN10" t="str">
        <f t="shared" si="3"/>
        <v>F00001B0AP%7CF00000WI0D%7CF000016A7T%7CF00000VYOL%7CF00001T5CZ%7CF000001ATI%7C</v>
      </c>
      <c r="BO10" t="str">
        <f t="shared" si="4"/>
        <v>1644%7C1584%7C1116%7C588%7C482%7C453%7C</v>
      </c>
    </row>
    <row r="11" spans="1:67" x14ac:dyDescent="0.3">
      <c r="A11" s="3" t="s">
        <v>112</v>
      </c>
      <c r="B11" s="5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>78</v>
      </c>
      <c r="C11" s="12">
        <v>4.4487737119197845E-2</v>
      </c>
      <c r="D11" s="5">
        <f t="shared" si="0"/>
        <v>3.4700434952974319</v>
      </c>
      <c r="F11" s="43" t="s">
        <v>731</v>
      </c>
      <c r="N11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>0.24020000457763671</v>
      </c>
      <c r="O11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>9.9099998474121098E-2</v>
      </c>
      <c r="P11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>0.10789999961853028</v>
      </c>
      <c r="Q11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>0.12</v>
      </c>
      <c r="R11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>78</v>
      </c>
      <c r="S11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>10.609999656677246</v>
      </c>
      <c r="T11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>0.2800000011920929</v>
      </c>
      <c r="U11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>15.430000305175781</v>
      </c>
      <c r="V11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>1.1000000000000001</v>
      </c>
      <c r="W11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>1.2300000190734863</v>
      </c>
      <c r="X11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>0.56999999284744263</v>
      </c>
      <c r="Y11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>59</v>
      </c>
      <c r="Z11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>48</v>
      </c>
      <c r="AA11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>-0.14710000038146973</v>
      </c>
      <c r="AB11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>-0.29219999313354494</v>
      </c>
      <c r="AC11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>0.81730003356933589</v>
      </c>
      <c r="AD11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>1.3799999952316283E-2</v>
      </c>
      <c r="AE11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>3</v>
      </c>
      <c r="AF11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>0.2577000045776367</v>
      </c>
      <c r="AG11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>0.47880001068115235</v>
      </c>
      <c r="AH11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>2.4700000286102294E-2</v>
      </c>
      <c r="AI11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>0.23870000839233399</v>
      </c>
      <c r="AJ11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>0.115</v>
      </c>
      <c r="AK11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>0.21409999847412109</v>
      </c>
      <c r="AL11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>1.3300000429153443E-2</v>
      </c>
      <c r="AM11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>5.1399998664855957E-2</v>
      </c>
      <c r="AN11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>1.4999999999999999E-2</v>
      </c>
      <c r="AO11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>0.19579999923706054</v>
      </c>
      <c r="AP11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>0.13680000305175782</v>
      </c>
      <c r="AQ11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>0.16120000839233398</v>
      </c>
      <c r="AR11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>6.8400001525878912E-2</v>
      </c>
      <c r="AS11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>2.9000000953674318E-2</v>
      </c>
      <c r="AT11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>0</v>
      </c>
      <c r="BI11" t="s">
        <v>248</v>
      </c>
      <c r="BJ11" t="s">
        <v>249</v>
      </c>
      <c r="BK11" t="s">
        <v>614</v>
      </c>
      <c r="BL11" t="str">
        <f t="shared" si="1"/>
        <v>F00000QGIQ</v>
      </c>
      <c r="BM11">
        <f t="shared" si="2"/>
        <v>444</v>
      </c>
      <c r="BN11" t="str">
        <f t="shared" si="3"/>
        <v>F00001B0AP%7CF00000WI0D%7CF000016A7T%7CF00000VYOL%7CF00001T5CZ%7CF000001ATI%7CF00000QGIQ%7C</v>
      </c>
      <c r="BO11" t="str">
        <f t="shared" si="4"/>
        <v>1644%7C1584%7C1116%7C588%7C482%7C453%7C444%7C</v>
      </c>
    </row>
    <row r="12" spans="1:67" x14ac:dyDescent="0.3">
      <c r="A12" s="3" t="s">
        <v>248</v>
      </c>
      <c r="B12" s="5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>77</v>
      </c>
      <c r="C12" s="12">
        <v>4.0632046759128571E-2</v>
      </c>
      <c r="D12" s="5">
        <f t="shared" si="0"/>
        <v>3.1286676004528999</v>
      </c>
      <c r="F12" s="43" t="s">
        <v>732</v>
      </c>
      <c r="N12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>0.25610000610351563</v>
      </c>
      <c r="O12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>0.26040000915527345</v>
      </c>
      <c r="P12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>0.16920000076293945</v>
      </c>
      <c r="Q12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>7.3800001144409183E-2</v>
      </c>
      <c r="R12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>77</v>
      </c>
      <c r="S12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>8.6400003433227539</v>
      </c>
      <c r="T12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>0.67000001668930054</v>
      </c>
      <c r="U12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>16</v>
      </c>
      <c r="V12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>1.1100000000000001</v>
      </c>
      <c r="W12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>9.3599996566772461</v>
      </c>
      <c r="X12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>0.87999999523162842</v>
      </c>
      <c r="Y12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>96</v>
      </c>
      <c r="Z12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>33</v>
      </c>
      <c r="AA12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>-5.4200000762939453E-2</v>
      </c>
      <c r="AB12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>-0.11140000343322753</v>
      </c>
      <c r="AC12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>0.95279998779296871</v>
      </c>
      <c r="AD12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>1.4900000095367431E-2</v>
      </c>
      <c r="AE12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>5</v>
      </c>
      <c r="AF12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>9.2399997711181639E-2</v>
      </c>
      <c r="AG12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>0.66339996337890628</v>
      </c>
      <c r="AH12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>0.12380000114440919</v>
      </c>
      <c r="AI12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>0.12050000190734864</v>
      </c>
      <c r="AJ12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>2.9000000953674318E-2</v>
      </c>
      <c r="AK12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>9.6899995803833003E-2</v>
      </c>
      <c r="AL12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>0</v>
      </c>
      <c r="AM12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>9.4999998807907098E-3</v>
      </c>
      <c r="AN12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>0.13300000190734862</v>
      </c>
      <c r="AO12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>1.559999942779541E-2</v>
      </c>
      <c r="AP12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>0.27010000228881836</v>
      </c>
      <c r="AQ12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>0.21040000915527343</v>
      </c>
      <c r="AR12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>0.21579999923706056</v>
      </c>
      <c r="AS12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>1.9700000286102293E-2</v>
      </c>
      <c r="AT12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>0</v>
      </c>
      <c r="BI12" t="s">
        <v>319</v>
      </c>
      <c r="BJ12" t="s">
        <v>321</v>
      </c>
      <c r="BK12" t="s">
        <v>579</v>
      </c>
      <c r="BL12" t="str">
        <f t="shared" si="1"/>
        <v>F000016A7W</v>
      </c>
      <c r="BM12">
        <f t="shared" si="2"/>
        <v>406</v>
      </c>
      <c r="BN12" t="str">
        <f t="shared" si="3"/>
        <v>F00001B0AP%7CF00000WI0D%7CF000016A7T%7CF00000VYOL%7CF00001T5CZ%7CF000001ATI%7CF00000QGIQ%7CF000016A7W%7C</v>
      </c>
      <c r="BO12" t="str">
        <f t="shared" si="4"/>
        <v>1644%7C1584%7C1116%7C588%7C482%7C453%7C444%7C406%7C</v>
      </c>
    </row>
    <row r="13" spans="1:67" x14ac:dyDescent="0.3">
      <c r="A13" s="3" t="s">
        <v>472</v>
      </c>
      <c r="B13" s="5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>13</v>
      </c>
      <c r="C13" s="12">
        <v>3.4896910190582275E-2</v>
      </c>
      <c r="D13" s="5">
        <f t="shared" si="0"/>
        <v>0.45365983247756958</v>
      </c>
      <c r="N13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>7.3299999237060542E-2</v>
      </c>
      <c r="O13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>9.460000038146972E-2</v>
      </c>
      <c r="P13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>6.2300000190734867E-2</v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>13</v>
      </c>
      <c r="S13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>10.479999542236328</v>
      </c>
      <c r="T13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>2.630000114440918</v>
      </c>
      <c r="U13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>2.2899999618530273</v>
      </c>
      <c r="V13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>0.56000000000000005</v>
      </c>
      <c r="W13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>5.5199999809265137</v>
      </c>
      <c r="X13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>0.27000001072883606</v>
      </c>
      <c r="Y13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>91</v>
      </c>
      <c r="Z13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>-29</v>
      </c>
      <c r="AA13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>-7.5999999046325682E-3</v>
      </c>
      <c r="AB13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>-3.3299999237060549E-2</v>
      </c>
      <c r="AC13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>6.1900000572204593E-2</v>
      </c>
      <c r="AD13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>0.82410003662109377</v>
      </c>
      <c r="AE13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>5</v>
      </c>
      <c r="AF13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>4.9099998474121095E-2</v>
      </c>
      <c r="AG13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>0.62360000610351563</v>
      </c>
      <c r="AH13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>3.3199999332427982E-2</v>
      </c>
      <c r="AI13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>0.2940999984741211</v>
      </c>
      <c r="AJ13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>0</v>
      </c>
      <c r="AK13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>0.1509000015258789</v>
      </c>
      <c r="AL13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>0.13239999771118163</v>
      </c>
      <c r="AM13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>0.13640000343322753</v>
      </c>
      <c r="AN13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>0</v>
      </c>
      <c r="AO13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>0</v>
      </c>
      <c r="AP13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>0.23860000610351562</v>
      </c>
      <c r="AQ13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>0.24290000915527343</v>
      </c>
      <c r="AR13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>9.8900003433227537E-2</v>
      </c>
      <c r="AS13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>0</v>
      </c>
      <c r="AT13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>0</v>
      </c>
      <c r="BI13" t="s">
        <v>40</v>
      </c>
      <c r="BJ13" t="s">
        <v>43</v>
      </c>
      <c r="BK13" t="s">
        <v>683</v>
      </c>
      <c r="BL13" t="str">
        <f t="shared" si="1"/>
        <v>F00001EZL8</v>
      </c>
      <c r="BM13">
        <f t="shared" si="2"/>
        <v>349</v>
      </c>
      <c r="BN13" t="str">
        <f t="shared" si="3"/>
        <v>F00001B0AP%7CF00000WI0D%7CF000016A7T%7CF00000VYOL%7CF00001T5CZ%7CF000001ATI%7CF00000QGIQ%7CF000016A7W%7CF00001EZL8%7C</v>
      </c>
      <c r="BO13" t="str">
        <f t="shared" si="4"/>
        <v>1644%7C1584%7C1116%7C588%7C482%7C453%7C444%7C406%7C349%7C</v>
      </c>
    </row>
    <row r="14" spans="1:67" x14ac:dyDescent="0.3">
      <c r="A14" s="3" t="s">
        <v>47</v>
      </c>
      <c r="B14" s="5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>77</v>
      </c>
      <c r="C14" s="12">
        <v>3.3508535474538803E-2</v>
      </c>
      <c r="D14" s="5">
        <f t="shared" si="0"/>
        <v>2.5801572315394878</v>
      </c>
      <c r="F14" s="2" t="s">
        <v>543</v>
      </c>
      <c r="G14" s="2" t="s">
        <v>535</v>
      </c>
      <c r="N14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>0.1534000015258789</v>
      </c>
      <c r="O14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>0.22840000152587892</v>
      </c>
      <c r="P14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>0.13960000038146972</v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>77</v>
      </c>
      <c r="S14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>10.520000457763672</v>
      </c>
      <c r="T14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>1.0199999809265137</v>
      </c>
      <c r="U14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>13.609999656677246</v>
      </c>
      <c r="V14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>0.99</v>
      </c>
      <c r="W14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>8.1999998092651367</v>
      </c>
      <c r="X14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>0.73000001907348633</v>
      </c>
      <c r="Y14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>88</v>
      </c>
      <c r="Z14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>35</v>
      </c>
      <c r="AA14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>-6.5300002098083496E-2</v>
      </c>
      <c r="AB14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>-0.11140000343322753</v>
      </c>
      <c r="AC14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>0.93639999389648443</v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>5</v>
      </c>
      <c r="AF14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>0.10859999656677247</v>
      </c>
      <c r="AG14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>0.68519996643066405</v>
      </c>
      <c r="AH14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>2.75E-2</v>
      </c>
      <c r="AI14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>0.17879999160766602</v>
      </c>
      <c r="AJ14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>4.0300002098083494E-2</v>
      </c>
      <c r="AK14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>0.10170000076293945</v>
      </c>
      <c r="AL14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>0.10300000190734863</v>
      </c>
      <c r="AM14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>0.12260000228881836</v>
      </c>
      <c r="AN14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>0</v>
      </c>
      <c r="AO14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>1.190000057220459E-2</v>
      </c>
      <c r="AP14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>0.23190000534057617</v>
      </c>
      <c r="AQ14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>0.25299999237060544</v>
      </c>
      <c r="AR14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>0.12140000343322754</v>
      </c>
      <c r="AS14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>1.4299999475479126E-2</v>
      </c>
      <c r="AT14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>0</v>
      </c>
      <c r="BI14" t="s">
        <v>322</v>
      </c>
      <c r="BJ14" t="s">
        <v>325</v>
      </c>
      <c r="BK14" t="s">
        <v>586</v>
      </c>
      <c r="BL14" t="str">
        <f t="shared" si="1"/>
        <v>F00001EZLA</v>
      </c>
      <c r="BM14">
        <f t="shared" si="2"/>
        <v>335</v>
      </c>
      <c r="BN14" t="str">
        <f t="shared" si="3"/>
        <v>F00001B0AP%7CF00000WI0D%7CF000016A7T%7CF00000VYOL%7CF00001T5CZ%7CF000001ATI%7CF00000QGIQ%7CF000016A7W%7CF00001EZL8%7CF00001EZLA%7C</v>
      </c>
      <c r="BO14" t="str">
        <f t="shared" si="4"/>
        <v>1644%7C1584%7C1116%7C588%7C482%7C453%7C444%7C406%7C349%7C335%7C</v>
      </c>
    </row>
    <row r="15" spans="1:67" ht="18" customHeight="1" x14ac:dyDescent="0.3">
      <c r="A15" s="3" t="s">
        <v>434</v>
      </c>
      <c r="B15" s="5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>84</v>
      </c>
      <c r="C15" s="12">
        <v>2.700762078166008E-2</v>
      </c>
      <c r="D15" s="5">
        <f t="shared" si="0"/>
        <v>2.2686401456594467</v>
      </c>
      <c r="F15" s="28" t="s">
        <v>544</v>
      </c>
      <c r="G15" s="32">
        <f>IF(ISNUMBER($G$5),0.03+MIN(100,MAX(0,$G$5))/100*(0.13-0.03),"")</f>
        <v>9.6614410675272364E-2</v>
      </c>
      <c r="N15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>2.1900000572204589E-2</v>
      </c>
      <c r="O15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>0.1418000030517578</v>
      </c>
      <c r="P15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>9.1899995803833012E-2</v>
      </c>
      <c r="Q15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>9.1899995803833012E-2</v>
      </c>
      <c r="R15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>84</v>
      </c>
      <c r="S15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>8.8100004196166992</v>
      </c>
      <c r="T15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>0.37000000476837158</v>
      </c>
      <c r="U15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>13.930000305175781</v>
      </c>
      <c r="V15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>1.9</v>
      </c>
      <c r="W15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>2.7799999713897705</v>
      </c>
      <c r="X15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>0.67000001668930054</v>
      </c>
      <c r="Y15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>76</v>
      </c>
      <c r="Z15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>72</v>
      </c>
      <c r="AA15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>-0.12</v>
      </c>
      <c r="AB15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>-0.1115999984741211</v>
      </c>
      <c r="AC15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>0.96629997253417965</v>
      </c>
      <c r="AD15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>1.9999999552965163E-4</v>
      </c>
      <c r="AE15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>4</v>
      </c>
      <c r="AF15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>0</v>
      </c>
      <c r="AG15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>0</v>
      </c>
      <c r="AH15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>0.13270000457763673</v>
      </c>
      <c r="AI15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>0.86730003356933594</v>
      </c>
      <c r="AJ15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>0.21299999237060546</v>
      </c>
      <c r="AK15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>7.0500001907348633E-2</v>
      </c>
      <c r="AL15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>0.15300000190734864</v>
      </c>
      <c r="AM15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>0</v>
      </c>
      <c r="AN15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>1.9800000190734864E-2</v>
      </c>
      <c r="AO15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>8.1199998855590816E-2</v>
      </c>
      <c r="AP15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>0</v>
      </c>
      <c r="AQ15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>0.12710000038146974</v>
      </c>
      <c r="AR15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>0.24719999313354493</v>
      </c>
      <c r="AS15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>8.8299999237060542E-2</v>
      </c>
      <c r="AT15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>0</v>
      </c>
      <c r="BI15" t="s">
        <v>326</v>
      </c>
      <c r="BJ15" t="s">
        <v>329</v>
      </c>
      <c r="BK15" t="s">
        <v>674</v>
      </c>
      <c r="BL15" t="str">
        <f t="shared" si="1"/>
        <v>F00000QIUX</v>
      </c>
      <c r="BM15">
        <f t="shared" si="2"/>
        <v>270</v>
      </c>
      <c r="BN15" t="str">
        <f t="shared" si="3"/>
        <v>F00001B0AP%7CF00000WI0D%7CF000016A7T%7CF00000VYOL%7CF00001T5CZ%7CF000001ATI%7CF00000QGIQ%7CF000016A7W%7CF00001EZL8%7CF00001EZLA%7CF00000QIUX%7C</v>
      </c>
      <c r="BO15" t="str">
        <f t="shared" si="4"/>
        <v>1644%7C1584%7C1116%7C588%7C482%7C453%7C444%7C406%7C349%7C335%7C270%7C</v>
      </c>
    </row>
    <row r="16" spans="1:67" ht="18" customHeight="1" x14ac:dyDescent="0.3">
      <c r="A16" s="3" t="s">
        <v>225</v>
      </c>
      <c r="B16" s="5">
        <f>IF($A16="","",IFERROR(IF(INDEX('Fondos Estrella'!$G:$G,MATCH($A16,'Fondos Estrella'!$A:$A,0))=0,"Sin dato",INDEX('Fondos Estrella'!$G:$G,MATCH($A16,'Fondos Estrella'!$A:$A,0))),IFERROR(IF(INDEX('Fondos Estrella'!$G:$G,MATCH($A16,'Fondos Estrella'!$O:$O,0))=0,"Sin dato",INDEX('Fondos Estrella'!$G:$G,MATCH($A16,'Fondos Estrella'!$O:$O,0))),"No encontrado")))</f>
        <v>66</v>
      </c>
      <c r="C16" s="12">
        <v>2.0712299272418022E-2</v>
      </c>
      <c r="D16" s="5">
        <f t="shared" si="0"/>
        <v>1.3670117519795895</v>
      </c>
      <c r="F16" s="33" t="s">
        <v>545</v>
      </c>
      <c r="G16" s="34">
        <f>IF(ISNUMBER($G$5),0+MIN(100,MAX(0,$G$5))/100*(0.5-0),"")</f>
        <v>0.33307205337636181</v>
      </c>
      <c r="N16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>2.7699999809265137E-2</v>
      </c>
      <c r="O16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>4.1900000572204589E-2</v>
      </c>
      <c r="P16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>6.2000000476837161E-3</v>
      </c>
      <c r="Q16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>9.1400003433227545E-2</v>
      </c>
      <c r="R16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>66</v>
      </c>
      <c r="S16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>20.379999160766602</v>
      </c>
      <c r="T16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>-0.10000000149011612</v>
      </c>
      <c r="U16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>14.600000381469727</v>
      </c>
      <c r="V16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>0.97</v>
      </c>
      <c r="W16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>-13.180000305175781</v>
      </c>
      <c r="X16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>0.69999998807907104</v>
      </c>
      <c r="Y16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>47</v>
      </c>
      <c r="Z16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>110</v>
      </c>
      <c r="AA16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>-0.28870000839233401</v>
      </c>
      <c r="AB16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>-9.4899997711181641E-2</v>
      </c>
      <c r="AC16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>0.98669998168945316</v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>1</v>
      </c>
      <c r="AF16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>0.70889999389648439</v>
      </c>
      <c r="AG16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>0.29120000839233401</v>
      </c>
      <c r="AH16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>0</v>
      </c>
      <c r="AI16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>0</v>
      </c>
      <c r="AJ16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>0.28440000534057619</v>
      </c>
      <c r="AK16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>0.44029998779296875</v>
      </c>
      <c r="AL16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>0.12609999656677245</v>
      </c>
      <c r="AM16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>3.930000066757202E-2</v>
      </c>
      <c r="AN16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>0</v>
      </c>
      <c r="AO16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>0</v>
      </c>
      <c r="AP16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>0</v>
      </c>
      <c r="AQ16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>4.1300001144409182E-2</v>
      </c>
      <c r="AR16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>6.8499999046325685E-2</v>
      </c>
      <c r="AS16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>0</v>
      </c>
      <c r="AT16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>0</v>
      </c>
      <c r="BI16" t="s">
        <v>44</v>
      </c>
      <c r="BJ16" t="s">
        <v>46</v>
      </c>
      <c r="BK16" t="s">
        <v>708</v>
      </c>
      <c r="BL16" t="str">
        <f t="shared" si="1"/>
        <v>F00001DE5S</v>
      </c>
      <c r="BM16">
        <f t="shared" si="2"/>
        <v>207</v>
      </c>
      <c r="BN16" t="str">
        <f t="shared" si="3"/>
        <v>F00001B0AP%7CF00000WI0D%7CF000016A7T%7CF00000VYOL%7CF00001T5CZ%7CF000001ATI%7CF00000QGIQ%7CF000016A7W%7CF00001EZL8%7CF00001EZLA%7CF00000QIUX%7CF00001DE5S%7C</v>
      </c>
      <c r="BO16" t="str">
        <f t="shared" si="4"/>
        <v>1644%7C1584%7C1116%7C588%7C482%7C453%7C444%7C406%7C349%7C335%7C270%7C207%7C</v>
      </c>
    </row>
    <row r="17" spans="1:67" x14ac:dyDescent="0.3">
      <c r="A17" s="3" t="s">
        <v>201</v>
      </c>
      <c r="B17" s="5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>63</v>
      </c>
      <c r="C17" s="12">
        <v>2.0454792305827141E-2</v>
      </c>
      <c r="D17" s="5">
        <f t="shared" si="0"/>
        <v>1.2886519152671099</v>
      </c>
      <c r="N17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>6.0700001716613772E-2</v>
      </c>
      <c r="O17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>7.7800002098083493E-2</v>
      </c>
      <c r="P17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>3.1500000953674313E-2</v>
      </c>
      <c r="Q17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>9.6999998092651363E-2</v>
      </c>
      <c r="R17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>63</v>
      </c>
      <c r="S17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>21.420000076293945</v>
      </c>
      <c r="T17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>-0.10999999940395355</v>
      </c>
      <c r="U17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>13.159999847412109</v>
      </c>
      <c r="V17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>1.08</v>
      </c>
      <c r="W17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>-6.3299999237060547</v>
      </c>
      <c r="X17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>0.69999998807907104</v>
      </c>
      <c r="Y17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>61</v>
      </c>
      <c r="Z17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>82</v>
      </c>
      <c r="AA17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>-0.19110000610351563</v>
      </c>
      <c r="AB17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>-0.3306999969482422</v>
      </c>
      <c r="AC17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>1</v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>2</v>
      </c>
      <c r="AF17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>0.79580001831054692</v>
      </c>
      <c r="AG17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>0.16860000610351564</v>
      </c>
      <c r="AH17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>3.559999942779541E-2</v>
      </c>
      <c r="AI17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>0</v>
      </c>
      <c r="AJ17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>0.32240001678466795</v>
      </c>
      <c r="AK17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>0.17889999389648437</v>
      </c>
      <c r="AL17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>0.11090000152587891</v>
      </c>
      <c r="AM17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>9.8400001525878911E-2</v>
      </c>
      <c r="AN17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>0</v>
      </c>
      <c r="AO17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>0.15170000076293946</v>
      </c>
      <c r="AP17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>0</v>
      </c>
      <c r="AQ17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>9.5200004577636721E-2</v>
      </c>
      <c r="AR17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>4.2399997711181643E-2</v>
      </c>
      <c r="AS17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>0</v>
      </c>
      <c r="AT17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>0</v>
      </c>
      <c r="BI17" t="s">
        <v>378</v>
      </c>
      <c r="BJ17" t="s">
        <v>380</v>
      </c>
      <c r="BK17" t="s">
        <v>641</v>
      </c>
      <c r="BL17" t="str">
        <f t="shared" si="1"/>
        <v>F00000OHVY</v>
      </c>
      <c r="BM17">
        <f t="shared" si="2"/>
        <v>204</v>
      </c>
      <c r="BN17" t="str">
        <f t="shared" si="3"/>
        <v>F00001B0AP%7CF00000WI0D%7CF000016A7T%7CF00000VYOL%7CF00001T5CZ%7CF000001ATI%7CF00000QGIQ%7CF000016A7W%7CF00001EZL8%7CF00001EZLA%7CF00000QIUX%7CF00001DE5S%7CF00000OHVY%7C</v>
      </c>
      <c r="BO17" t="str">
        <f t="shared" si="4"/>
        <v>1644%7C1584%7C1116%7C588%7C482%7C453%7C444%7C406%7C349%7C335%7C270%7C207%7C204%7C</v>
      </c>
    </row>
    <row r="18" spans="1:67" x14ac:dyDescent="0.3">
      <c r="A18" s="3" t="s">
        <v>375</v>
      </c>
      <c r="B18" s="5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>74</v>
      </c>
      <c r="C18" s="12">
        <v>1.7686378210783005E-2</v>
      </c>
      <c r="D18" s="5">
        <f t="shared" si="0"/>
        <v>1.3087919875979424</v>
      </c>
      <c r="F18" s="27" t="s">
        <v>538</v>
      </c>
      <c r="N18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>0.28899999618530275</v>
      </c>
      <c r="O18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>0.35450000762939454</v>
      </c>
      <c r="P18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>0.21149999618530274</v>
      </c>
      <c r="Q18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>0.20790000915527343</v>
      </c>
      <c r="R18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>74</v>
      </c>
      <c r="S18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>17.379999160766602</v>
      </c>
      <c r="T18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>0.81000000238418579</v>
      </c>
      <c r="U18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>17.579999923706055</v>
      </c>
      <c r="V18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>0.76</v>
      </c>
      <c r="W18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>3.8199999332427979</v>
      </c>
      <c r="X18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>0.69999998807907104</v>
      </c>
      <c r="Y18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>77</v>
      </c>
      <c r="Z18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>61</v>
      </c>
      <c r="AA18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>-0.1640999984741211</v>
      </c>
      <c r="AB18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>-0.39500000000000002</v>
      </c>
      <c r="AC18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>0.97889999389648441</v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>4</v>
      </c>
      <c r="AF18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>0.66930000305175785</v>
      </c>
      <c r="AG18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>0.20420000076293945</v>
      </c>
      <c r="AH18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>0.11180000305175782</v>
      </c>
      <c r="AI18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>1.4600000381469726E-2</v>
      </c>
      <c r="AJ18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>0.624900016784668</v>
      </c>
      <c r="AK18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>0</v>
      </c>
      <c r="AL18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>9.2200002670288092E-2</v>
      </c>
      <c r="AM18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>0.19719999313354492</v>
      </c>
      <c r="AN18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>0</v>
      </c>
      <c r="AO18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>0</v>
      </c>
      <c r="AP18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>0</v>
      </c>
      <c r="AQ18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>8.5600004196166993E-2</v>
      </c>
      <c r="AR18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>0</v>
      </c>
      <c r="AS18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>0</v>
      </c>
      <c r="AT18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>0</v>
      </c>
      <c r="BI18" t="s">
        <v>268</v>
      </c>
      <c r="BJ18" t="s">
        <v>271</v>
      </c>
      <c r="BK18" t="s">
        <v>578</v>
      </c>
      <c r="BL18" t="str">
        <f t="shared" si="1"/>
        <v>F00000SJXB</v>
      </c>
      <c r="BM18">
        <f t="shared" si="2"/>
        <v>177</v>
      </c>
      <c r="BN18" t="str">
        <f t="shared" si="3"/>
        <v>F00001B0AP%7CF00000WI0D%7CF000016A7T%7CF00000VYOL%7CF00001T5CZ%7CF000001ATI%7CF00000QGIQ%7CF000016A7W%7CF00001EZL8%7CF00001EZLA%7CF00000QIUX%7CF00001DE5S%7CF00000OHVY%7CF00000SJXB%7C</v>
      </c>
      <c r="BO18" t="str">
        <f t="shared" si="4"/>
        <v>1644%7C1584%7C1116%7C588%7C482%7C453%7C444%7C406%7C349%7C335%7C270%7C207%7C204%7C177%7C</v>
      </c>
    </row>
    <row r="19" spans="1:67" x14ac:dyDescent="0.3">
      <c r="A19" s="3" t="s">
        <v>446</v>
      </c>
      <c r="B19" s="5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>68</v>
      </c>
      <c r="C19" s="12">
        <v>1.7590954899787903E-2</v>
      </c>
      <c r="D19" s="5">
        <f t="shared" si="0"/>
        <v>1.1961849331855774</v>
      </c>
      <c r="F19" s="43" t="s">
        <v>733</v>
      </c>
      <c r="N19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>9.7200002670288083E-2</v>
      </c>
      <c r="O19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>1.6499999761581421E-2</v>
      </c>
      <c r="P19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>6.0399999618530271E-2</v>
      </c>
      <c r="Q19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>0.10670000076293945</v>
      </c>
      <c r="R19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>68</v>
      </c>
      <c r="S19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>10.659999847412109</v>
      </c>
      <c r="T19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>0.31000000238418579</v>
      </c>
      <c r="U19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>14.590000152587891</v>
      </c>
      <c r="V19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>1.5</v>
      </c>
      <c r="W19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>2.7000000476837158</v>
      </c>
      <c r="X19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>0.76999998092651367</v>
      </c>
      <c r="Y19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>87</v>
      </c>
      <c r="Z19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>71</v>
      </c>
      <c r="AA19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>-0.1615999984741211</v>
      </c>
      <c r="AB19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>-0.17770000457763671</v>
      </c>
      <c r="AC19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>0.98620002746582036</v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>4</v>
      </c>
      <c r="AF19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>0</v>
      </c>
      <c r="AG19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>0</v>
      </c>
      <c r="AH19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>0</v>
      </c>
      <c r="AI19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>1</v>
      </c>
      <c r="AJ19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>1.399999976158142E-2</v>
      </c>
      <c r="AK19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>3.0299999713897706E-2</v>
      </c>
      <c r="AL19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>0.36779998779296874</v>
      </c>
      <c r="AM19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>1.3799999952316283E-2</v>
      </c>
      <c r="AN19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>0.16079999923706054</v>
      </c>
      <c r="AO19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>4.0999999046325682E-2</v>
      </c>
      <c r="AP19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>0.12600000381469725</v>
      </c>
      <c r="AQ19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>6.7600002288818364E-2</v>
      </c>
      <c r="AR19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>7.2100000381469728E-2</v>
      </c>
      <c r="AS19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>9.8199996948242191E-2</v>
      </c>
      <c r="AT19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>8.5000002384185789E-3</v>
      </c>
      <c r="BI19" t="s">
        <v>457</v>
      </c>
      <c r="BJ19" t="s">
        <v>459</v>
      </c>
      <c r="BK19" t="s">
        <v>606</v>
      </c>
      <c r="BL19" t="str">
        <f t="shared" si="1"/>
        <v>F00000TNDR</v>
      </c>
      <c r="BM19">
        <f t="shared" si="2"/>
        <v>176</v>
      </c>
      <c r="BN19" t="str">
        <f t="shared" si="3"/>
        <v>F00001B0AP%7CF00000WI0D%7CF000016A7T%7CF00000VYOL%7CF00001T5CZ%7CF000001ATI%7CF00000QGIQ%7CF000016A7W%7CF00001EZL8%7CF00001EZLA%7CF00000QIUX%7CF00001DE5S%7CF00000OHVY%7CF00000SJXB%7CF00000TNDR%7C</v>
      </c>
      <c r="BO19" t="str">
        <f t="shared" si="4"/>
        <v>1644%7C1584%7C1116%7C588%7C482%7C453%7C444%7C406%7C349%7C335%7C270%7C207%7C204%7C177%7C176%7C</v>
      </c>
    </row>
    <row r="20" spans="1:67" x14ac:dyDescent="0.3">
      <c r="A20" s="3" t="s">
        <v>139</v>
      </c>
      <c r="B20" s="5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>100</v>
      </c>
      <c r="C20" s="12">
        <v>1.6775909811258316E-2</v>
      </c>
      <c r="D20" s="5">
        <f t="shared" si="0"/>
        <v>1.6775909811258316</v>
      </c>
      <c r="F20" s="43" t="s">
        <v>547</v>
      </c>
      <c r="N20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>0.18409999847412109</v>
      </c>
      <c r="O20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>0.31479999542236325</v>
      </c>
      <c r="P20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>0.10220000267028809</v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>100</v>
      </c>
      <c r="S20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>26.549999237060547</v>
      </c>
      <c r="T20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>0.38999998569488525</v>
      </c>
      <c r="U20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>38.009998321533203</v>
      </c>
      <c r="V20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>1.29</v>
      </c>
      <c r="W20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>1.6100000143051147</v>
      </c>
      <c r="X20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>1.940000057220459</v>
      </c>
      <c r="Y20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>167</v>
      </c>
      <c r="Z20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>190</v>
      </c>
      <c r="AA20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>-0.53049999237060552</v>
      </c>
      <c r="AB20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>-0.29219999313354494</v>
      </c>
      <c r="AC20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>0.64139999389648439</v>
      </c>
      <c r="AD20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>3.4400000572204589E-2</v>
      </c>
      <c r="AE20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>3</v>
      </c>
      <c r="AF20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>0.98099998474121097</v>
      </c>
      <c r="AG20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>1.909999966621399E-2</v>
      </c>
      <c r="AH20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>0</v>
      </c>
      <c r="AI20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>0</v>
      </c>
      <c r="AJ20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>0.22010000228881835</v>
      </c>
      <c r="AK20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>0</v>
      </c>
      <c r="AL20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>0.63169998168945307</v>
      </c>
      <c r="AM20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>6.8699998855590819E-2</v>
      </c>
      <c r="AN20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>0</v>
      </c>
      <c r="AO20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>0</v>
      </c>
      <c r="AP20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>0</v>
      </c>
      <c r="AQ20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>7.9499998092651361E-2</v>
      </c>
      <c r="AR20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>0</v>
      </c>
      <c r="AS20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>0</v>
      </c>
      <c r="AT20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>0</v>
      </c>
      <c r="BI20" t="s">
        <v>381</v>
      </c>
      <c r="BJ20" t="s">
        <v>383</v>
      </c>
      <c r="BK20" t="s">
        <v>600</v>
      </c>
      <c r="BL20" t="str">
        <f t="shared" si="1"/>
        <v>F00001PTJD</v>
      </c>
      <c r="BM20">
        <f t="shared" si="2"/>
        <v>168</v>
      </c>
      <c r="BN20" t="str">
        <f t="shared" si="3"/>
        <v>F00001B0AP%7CF00000WI0D%7CF000016A7T%7CF00000VYOL%7CF00001T5CZ%7CF000001ATI%7CF00000QGIQ%7CF000016A7W%7CF00001EZL8%7CF00001EZLA%7CF00000QIUX%7CF00001DE5S%7CF00000OHVY%7CF00000SJXB%7CF00000TNDR%7CF00001PTJD%7C</v>
      </c>
      <c r="BO20" t="str">
        <f t="shared" si="4"/>
        <v>1644%7C1584%7C1116%7C588%7C482%7C453%7C444%7C406%7C349%7C335%7C270%7C207%7C204%7C177%7C176%7C168%7C</v>
      </c>
    </row>
    <row r="21" spans="1:67" x14ac:dyDescent="0.3">
      <c r="A21" s="3" t="s">
        <v>186</v>
      </c>
      <c r="B21" s="5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>64</v>
      </c>
      <c r="C21" s="12">
        <v>1.5882069244980812E-2</v>
      </c>
      <c r="D21" s="5">
        <f t="shared" si="0"/>
        <v>1.016452431678772</v>
      </c>
      <c r="F21" s="43" t="s">
        <v>548</v>
      </c>
      <c r="N21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>0.11779999732971191</v>
      </c>
      <c r="O21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>0.10520000457763672</v>
      </c>
      <c r="P21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>5.9400000572204591E-2</v>
      </c>
      <c r="Q21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>0.10109999656677246</v>
      </c>
      <c r="R21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>64</v>
      </c>
      <c r="S21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>24</v>
      </c>
      <c r="T21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>0.11999999731779099</v>
      </c>
      <c r="U21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>13.369999885559082</v>
      </c>
      <c r="V21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>0.83</v>
      </c>
      <c r="W21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>-3.440000057220459</v>
      </c>
      <c r="X21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>0.79000002145767212</v>
      </c>
      <c r="Y21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>61</v>
      </c>
      <c r="Z21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>78</v>
      </c>
      <c r="AA21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>-0.13340000152587891</v>
      </c>
      <c r="AB21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>-9.4899997711181641E-2</v>
      </c>
      <c r="AC21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>0.99010002136230468</v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>3</v>
      </c>
      <c r="AF21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>0.72309997558593753</v>
      </c>
      <c r="AG21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>0.14350000381469727</v>
      </c>
      <c r="AH21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>0.13340000152587891</v>
      </c>
      <c r="AI21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>0</v>
      </c>
      <c r="AJ21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>0.32240001678466795</v>
      </c>
      <c r="AK21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>0.15449999809265136</v>
      </c>
      <c r="AL21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>0.11359999656677246</v>
      </c>
      <c r="AM21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>0</v>
      </c>
      <c r="AN21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>4.4999999999999998E-2</v>
      </c>
      <c r="AO21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>3.4300000667572023E-2</v>
      </c>
      <c r="AP21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>2.8199999332427977E-2</v>
      </c>
      <c r="AQ21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>0.20200000762939452</v>
      </c>
      <c r="AR21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>0.1</v>
      </c>
      <c r="AS21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>0</v>
      </c>
      <c r="AT21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>0</v>
      </c>
      <c r="BI21" t="s">
        <v>384</v>
      </c>
      <c r="BJ21" t="s">
        <v>386</v>
      </c>
      <c r="BK21" t="s">
        <v>576</v>
      </c>
      <c r="BL21" t="str">
        <f t="shared" si="1"/>
        <v>F00000PBVF</v>
      </c>
      <c r="BM21">
        <f t="shared" si="2"/>
        <v>159</v>
      </c>
      <c r="BN21" t="str">
        <f t="shared" si="3"/>
        <v>F00001B0AP%7CF00000WI0D%7CF000016A7T%7CF00000VYOL%7CF00001T5CZ%7CF000001ATI%7CF00000QGIQ%7CF000016A7W%7CF00001EZL8%7CF00001EZLA%7CF00000QIUX%7CF00001DE5S%7CF00000OHVY%7CF00000SJXB%7CF00000TNDR%7CF00001PTJD%7CF00000PBVF%7C</v>
      </c>
      <c r="BO21" t="str">
        <f t="shared" si="4"/>
        <v>1644%7C1584%7C1116%7C588%7C482%7C453%7C444%7C406%7C349%7C335%7C270%7C207%7C204%7C177%7C176%7C168%7C159%7C</v>
      </c>
    </row>
    <row r="22" spans="1:67" x14ac:dyDescent="0.3">
      <c r="A22" s="3" t="s">
        <v>438</v>
      </c>
      <c r="B22" s="5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>75</v>
      </c>
      <c r="C22" s="12">
        <v>1.5870856121182442E-2</v>
      </c>
      <c r="D22" s="5">
        <f t="shared" si="0"/>
        <v>1.1903142090886831</v>
      </c>
      <c r="F22" s="43" t="s">
        <v>549</v>
      </c>
      <c r="N22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>0.24049999237060546</v>
      </c>
      <c r="O22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>0.20139999389648439</v>
      </c>
      <c r="P22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>8.7399997711181635E-2</v>
      </c>
      <c r="Q22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>0.13010000228881835</v>
      </c>
      <c r="R22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>75</v>
      </c>
      <c r="S22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>14.880000114440918</v>
      </c>
      <c r="T22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>0.36000001430511475</v>
      </c>
      <c r="U22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>18.889999389648438</v>
      </c>
      <c r="V22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>1.1000000000000001</v>
      </c>
      <c r="W22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>1.0499999523162842</v>
      </c>
      <c r="X22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>1.1499999761581421</v>
      </c>
      <c r="Y22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>116</v>
      </c>
      <c r="Z22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>126</v>
      </c>
      <c r="AA22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>-0.12100000381469726</v>
      </c>
      <c r="AB22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>-0.11890000343322754</v>
      </c>
      <c r="AC22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>0.9944000244140625</v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>4</v>
      </c>
      <c r="AF22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>2.7899999618530274E-2</v>
      </c>
      <c r="AG22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>0</v>
      </c>
      <c r="AH22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>0.82809997558593751</v>
      </c>
      <c r="AI22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>0.14409999847412108</v>
      </c>
      <c r="AJ22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>0.42909999847412111</v>
      </c>
      <c r="AK22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>7.6700000762939452E-2</v>
      </c>
      <c r="AL22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>8.5399999618530273E-2</v>
      </c>
      <c r="AM22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>7.6999998092651366E-3</v>
      </c>
      <c r="AN22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>1.8500000238418579E-2</v>
      </c>
      <c r="AO22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>0</v>
      </c>
      <c r="AP22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>3.4100000858306882E-2</v>
      </c>
      <c r="AQ22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>4.0700001716613768E-2</v>
      </c>
      <c r="AR22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>0.30780000686645509</v>
      </c>
      <c r="AS22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>0</v>
      </c>
      <c r="AT22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>0</v>
      </c>
      <c r="BI22" t="s">
        <v>47</v>
      </c>
      <c r="BJ22" t="s">
        <v>50</v>
      </c>
      <c r="BK22" t="s">
        <v>715</v>
      </c>
      <c r="BL22" t="str">
        <f t="shared" si="1"/>
        <v>F00000W5DY</v>
      </c>
      <c r="BM22">
        <f t="shared" si="2"/>
        <v>159</v>
      </c>
      <c r="BN2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</v>
      </c>
      <c r="BO22" t="str">
        <f t="shared" si="4"/>
        <v>1644%7C1584%7C1116%7C588%7C482%7C453%7C444%7C406%7C349%7C335%7C270%7C207%7C204%7C177%7C176%7C168%7C159%7C159%7C</v>
      </c>
    </row>
    <row r="23" spans="1:67" x14ac:dyDescent="0.3">
      <c r="A23" s="3" t="s">
        <v>315</v>
      </c>
      <c r="B23" s="5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>84</v>
      </c>
      <c r="C23" s="12">
        <v>1.5513074584305286E-2</v>
      </c>
      <c r="D23" s="5">
        <f t="shared" si="0"/>
        <v>1.3030982650816441</v>
      </c>
      <c r="F23" s="43" t="s">
        <v>550</v>
      </c>
      <c r="N23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>0.10229999542236329</v>
      </c>
      <c r="O23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>0.30889999389648437</v>
      </c>
      <c r="P23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>0.19010000228881835</v>
      </c>
      <c r="Q23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>0.13279999732971193</v>
      </c>
      <c r="R23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>84</v>
      </c>
      <c r="S23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>12.689999580383301</v>
      </c>
      <c r="T23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>1.0900000333786011</v>
      </c>
      <c r="U23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>17.530000686645508</v>
      </c>
      <c r="V23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>1.6</v>
      </c>
      <c r="W23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>16.430000305175781</v>
      </c>
      <c r="X23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>0.89999997615814209</v>
      </c>
      <c r="Y23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>141</v>
      </c>
      <c r="Z23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>67</v>
      </c>
      <c r="AA23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>-0.16309999465942382</v>
      </c>
      <c r="AB23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>-0.32970001220703127</v>
      </c>
      <c r="AC23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>1.0369999694824219</v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>5</v>
      </c>
      <c r="AF23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>7.6999998092651366E-3</v>
      </c>
      <c r="AG23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>0.99230003356933594</v>
      </c>
      <c r="AH23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>0</v>
      </c>
      <c r="AI23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>0</v>
      </c>
      <c r="AJ23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>0.11300000190734863</v>
      </c>
      <c r="AK23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>4.9000000953674317E-3</v>
      </c>
      <c r="AL23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>0.1459000015258789</v>
      </c>
      <c r="AM23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>0.12229999542236328</v>
      </c>
      <c r="AN23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>8.1300001144409176E-2</v>
      </c>
      <c r="AO23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>5.199999809265137E-3</v>
      </c>
      <c r="AP23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>6.0700001716613772E-2</v>
      </c>
      <c r="AQ23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>0.105</v>
      </c>
      <c r="AR23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>0.34080001831054685</v>
      </c>
      <c r="AS23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>2.0999999046325685E-2</v>
      </c>
      <c r="AT23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>0</v>
      </c>
      <c r="BI23" t="s">
        <v>405</v>
      </c>
      <c r="BJ23" t="s">
        <v>408</v>
      </c>
      <c r="BK23" t="s">
        <v>711</v>
      </c>
      <c r="BL23" t="str">
        <f t="shared" si="1"/>
        <v>F00000QHCO</v>
      </c>
      <c r="BM23">
        <f t="shared" si="2"/>
        <v>155</v>
      </c>
      <c r="BN2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</v>
      </c>
      <c r="BO23" t="str">
        <f t="shared" si="4"/>
        <v>1644%7C1584%7C1116%7C588%7C482%7C453%7C444%7C406%7C349%7C335%7C270%7C207%7C204%7C177%7C176%7C168%7C159%7C159%7C155%7C</v>
      </c>
    </row>
    <row r="24" spans="1:67" x14ac:dyDescent="0.3">
      <c r="A24" s="3" t="s">
        <v>481</v>
      </c>
      <c r="B24" s="5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>4</v>
      </c>
      <c r="C24" s="12">
        <v>1.3177108019590378E-2</v>
      </c>
      <c r="D24" s="5">
        <f t="shared" si="0"/>
        <v>5.2708432078361511E-2</v>
      </c>
      <c r="F24" s="43" t="s">
        <v>551</v>
      </c>
      <c r="N24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>3.8299999237060546E-2</v>
      </c>
      <c r="O24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>5.7800002098083496E-2</v>
      </c>
      <c r="P24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>6.0500001907348631E-2</v>
      </c>
      <c r="Q24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>6.3400001525878907E-2</v>
      </c>
      <c r="R24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>4</v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>0.18000000715255737</v>
      </c>
      <c r="U24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>2.0799999237060547</v>
      </c>
      <c r="V24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>1.01</v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>-1.4999999999999999E-2</v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>8.5000002384185789E-3</v>
      </c>
      <c r="AD24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>0.88470001220703121</v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>0</v>
      </c>
      <c r="AG24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>0</v>
      </c>
      <c r="AH24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>0</v>
      </c>
      <c r="AI24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>0</v>
      </c>
      <c r="AJ24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>0</v>
      </c>
      <c r="AK24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>0</v>
      </c>
      <c r="AL24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>0</v>
      </c>
      <c r="AM24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>0</v>
      </c>
      <c r="AN24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>0</v>
      </c>
      <c r="AO24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>0</v>
      </c>
      <c r="AP24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>0</v>
      </c>
      <c r="AQ24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>0</v>
      </c>
      <c r="AR24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>0</v>
      </c>
      <c r="AS24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>0</v>
      </c>
      <c r="AT24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>0</v>
      </c>
      <c r="BI24" t="s">
        <v>330</v>
      </c>
      <c r="BJ24" t="s">
        <v>331</v>
      </c>
      <c r="BK24" t="s">
        <v>686</v>
      </c>
      <c r="BL24" t="str">
        <f t="shared" si="1"/>
        <v>F00000OS8X</v>
      </c>
      <c r="BM24">
        <f t="shared" si="2"/>
        <v>132</v>
      </c>
      <c r="BN2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</v>
      </c>
      <c r="BO24" t="str">
        <f t="shared" si="4"/>
        <v>1644%7C1584%7C1116%7C588%7C482%7C453%7C444%7C406%7C349%7C335%7C270%7C207%7C204%7C177%7C176%7C168%7C159%7C159%7C155%7C132%7C</v>
      </c>
    </row>
    <row r="25" spans="1:67" x14ac:dyDescent="0.3">
      <c r="A25" s="3" t="s">
        <v>257</v>
      </c>
      <c r="B25" s="5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>71</v>
      </c>
      <c r="C25" s="12">
        <v>1.2120028957724571E-2</v>
      </c>
      <c r="D25" s="5">
        <f t="shared" si="0"/>
        <v>0.86052205599844456</v>
      </c>
      <c r="F25" s="43" t="s">
        <v>552</v>
      </c>
      <c r="N25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>2.7999999523162841E-2</v>
      </c>
      <c r="O25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>0.16989999771118164</v>
      </c>
      <c r="P25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>0.11449999809265136</v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>71</v>
      </c>
      <c r="S25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>9.5500001907348633</v>
      </c>
      <c r="T25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>0.50999999046325684</v>
      </c>
      <c r="U25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>12.180000305175781</v>
      </c>
      <c r="V25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>1.86</v>
      </c>
      <c r="W25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>5.0399999618530273</v>
      </c>
      <c r="X25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>0.80000001192092896</v>
      </c>
      <c r="Y25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>93</v>
      </c>
      <c r="Z25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>68</v>
      </c>
      <c r="AA25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>-0.11960000038146973</v>
      </c>
      <c r="AB25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>-0.31540000915527344</v>
      </c>
      <c r="AC25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>0.90760002136230467</v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>5</v>
      </c>
      <c r="AF25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>0.14119999885559081</v>
      </c>
      <c r="AG25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>0.64500000000000002</v>
      </c>
      <c r="AH25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>3.3699998855590822E-2</v>
      </c>
      <c r="AI25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>0.18020000457763671</v>
      </c>
      <c r="AJ25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>7.5799999237060545E-2</v>
      </c>
      <c r="AK25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>2.0199999809265137E-2</v>
      </c>
      <c r="AL25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>0.16450000762939454</v>
      </c>
      <c r="AM25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>0.12699999809265136</v>
      </c>
      <c r="AN25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>6.4000000953674321E-2</v>
      </c>
      <c r="AO25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>2.6199998855590819E-2</v>
      </c>
      <c r="AP25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>8.4200000762939459E-2</v>
      </c>
      <c r="AQ25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>0.26899999618530274</v>
      </c>
      <c r="AR25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>0.11560000419616699</v>
      </c>
      <c r="AS25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>1.4600000381469726E-2</v>
      </c>
      <c r="AT25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>3.8900001049041746E-2</v>
      </c>
      <c r="BI25" t="s">
        <v>51</v>
      </c>
      <c r="BJ25" t="s">
        <v>53</v>
      </c>
      <c r="BK25" t="s">
        <v>656</v>
      </c>
      <c r="BL25" t="str">
        <f t="shared" si="1"/>
        <v>F000010KY6</v>
      </c>
      <c r="BM25">
        <f t="shared" si="2"/>
        <v>121</v>
      </c>
      <c r="BN2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</v>
      </c>
      <c r="BO25" t="str">
        <f t="shared" si="4"/>
        <v>1644%7C1584%7C1116%7C588%7C482%7C453%7C444%7C406%7C349%7C335%7C270%7C207%7C204%7C177%7C176%7C168%7C159%7C159%7C155%7C132%7C121%7C</v>
      </c>
    </row>
    <row r="26" spans="1:67" x14ac:dyDescent="0.3">
      <c r="A26" s="3" t="s">
        <v>397</v>
      </c>
      <c r="B26" s="5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>71</v>
      </c>
      <c r="C26" s="12">
        <v>8.4307920187711716E-3</v>
      </c>
      <c r="D26" s="5">
        <f t="shared" si="0"/>
        <v>0.59858623333275318</v>
      </c>
      <c r="N26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>0.21709999084472656</v>
      </c>
      <c r="O26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>0.25809200286865236</v>
      </c>
      <c r="P26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>0.1166450023651123</v>
      </c>
      <c r="Q26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>0.1560070037841797</v>
      </c>
      <c r="R26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>71</v>
      </c>
      <c r="S26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>24.110000610351563</v>
      </c>
      <c r="T26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>0.44999998807907104</v>
      </c>
      <c r="U26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>19.819999694824219</v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>15.680000305175781</v>
      </c>
      <c r="X26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>0.77999997138977051</v>
      </c>
      <c r="Y26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>118</v>
      </c>
      <c r="Z26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>59</v>
      </c>
      <c r="AA26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>-0.21209999084472655</v>
      </c>
      <c r="AB26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>-0.39849998474121096</v>
      </c>
      <c r="AC26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>0.91569999694824222</v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>0.92639999389648442</v>
      </c>
      <c r="AG26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>7.349999904632569E-2</v>
      </c>
      <c r="AH26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>0</v>
      </c>
      <c r="AI26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>0</v>
      </c>
      <c r="AJ26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>0</v>
      </c>
      <c r="AK26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>1</v>
      </c>
      <c r="AL26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>0</v>
      </c>
      <c r="AM26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>0</v>
      </c>
      <c r="AN26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>0</v>
      </c>
      <c r="AO26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>0</v>
      </c>
      <c r="AP26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>0</v>
      </c>
      <c r="AQ26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>0</v>
      </c>
      <c r="AR26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>0</v>
      </c>
      <c r="AS26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>0</v>
      </c>
      <c r="AT26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>0</v>
      </c>
      <c r="BI26" t="s">
        <v>54</v>
      </c>
      <c r="BJ26" t="s">
        <v>56</v>
      </c>
      <c r="BK26" t="s">
        <v>604</v>
      </c>
      <c r="BL26" t="str">
        <f t="shared" si="1"/>
        <v>0P0000ZVJP</v>
      </c>
      <c r="BM26">
        <f t="shared" si="2"/>
        <v>84</v>
      </c>
      <c r="BN2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</v>
      </c>
      <c r="BO26" t="str">
        <f t="shared" si="4"/>
        <v>1644%7C1584%7C1116%7C588%7C482%7C453%7C444%7C406%7C349%7C335%7C270%7C207%7C204%7C177%7C176%7C168%7C159%7C159%7C155%7C132%7C121%7C84%7C</v>
      </c>
    </row>
    <row r="27" spans="1:67" x14ac:dyDescent="0.3">
      <c r="A27" s="3" t="s">
        <v>174</v>
      </c>
      <c r="B27" s="5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>74</v>
      </c>
      <c r="C27" s="12">
        <v>8.380526676774025E-3</v>
      </c>
      <c r="D27" s="5">
        <f t="shared" si="0"/>
        <v>0.62015897408127785</v>
      </c>
      <c r="F27" s="2" t="s">
        <v>553</v>
      </c>
      <c r="G27" s="2" t="s">
        <v>535</v>
      </c>
      <c r="N27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>4.4499998092651365E-2</v>
      </c>
      <c r="O27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>7.420000076293945E-2</v>
      </c>
      <c r="P27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>6.4000000953674321E-2</v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>74</v>
      </c>
      <c r="S27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>16.010000228881836</v>
      </c>
      <c r="T27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>0.31999999284744263</v>
      </c>
      <c r="U27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>13.380000114440918</v>
      </c>
      <c r="V27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>0.74</v>
      </c>
      <c r="W27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>1.2899999618530273</v>
      </c>
      <c r="X27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>0.47999998927116394</v>
      </c>
      <c r="Y27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>60</v>
      </c>
      <c r="Z27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>52</v>
      </c>
      <c r="AA27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>-0.18819999694824219</v>
      </c>
      <c r="AB27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>-0.3306999969482422</v>
      </c>
      <c r="AC27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>0.98919998168945311</v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>3</v>
      </c>
      <c r="AF27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>0.69529998779296875</v>
      </c>
      <c r="AG27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>0.15079999923706056</v>
      </c>
      <c r="AH27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>8.1099996566772456E-2</v>
      </c>
      <c r="AI27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>7.2899999618530276E-2</v>
      </c>
      <c r="AJ27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>0.50939998626708982</v>
      </c>
      <c r="AK27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>5.3600001335144046E-2</v>
      </c>
      <c r="AL27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>9.9700002670288085E-2</v>
      </c>
      <c r="AM27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>9.6400003433227535E-2</v>
      </c>
      <c r="AN27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>9.4999998807907098E-3</v>
      </c>
      <c r="AO27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>4.0199999809265134E-2</v>
      </c>
      <c r="AP27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>5.1399998664855957E-2</v>
      </c>
      <c r="AQ27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>4.6999998092651367E-2</v>
      </c>
      <c r="AR27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>5.7500000000000002E-2</v>
      </c>
      <c r="AS27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>0</v>
      </c>
      <c r="AT27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>3.5299999713897703E-2</v>
      </c>
      <c r="BI27" t="s">
        <v>332</v>
      </c>
      <c r="BJ27" t="s">
        <v>334</v>
      </c>
      <c r="BK27" t="s">
        <v>669</v>
      </c>
      <c r="BL27" t="str">
        <f t="shared" si="1"/>
        <v>F000011K3T</v>
      </c>
      <c r="BM27">
        <f t="shared" si="2"/>
        <v>84</v>
      </c>
      <c r="BN2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</v>
      </c>
      <c r="BO27" t="str">
        <f t="shared" si="4"/>
        <v>1644%7C1584%7C1116%7C588%7C482%7C453%7C444%7C406%7C349%7C335%7C270%7C207%7C204%7C177%7C176%7C168%7C159%7C159%7C155%7C132%7C121%7C84%7C84%7C</v>
      </c>
    </row>
    <row r="28" spans="1:67" x14ac:dyDescent="0.3">
      <c r="A28" s="3" t="s">
        <v>213</v>
      </c>
      <c r="B28" s="5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>75</v>
      </c>
      <c r="C28" s="12">
        <v>6.0848668217658997E-3</v>
      </c>
      <c r="D28" s="5">
        <f t="shared" si="0"/>
        <v>0.45636501163244247</v>
      </c>
      <c r="N28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>2.3900001049041747E-2</v>
      </c>
      <c r="O28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>0.18219999313354493</v>
      </c>
      <c r="P28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>2.1099998950958251E-2</v>
      </c>
      <c r="Q28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>0.12380000114440919</v>
      </c>
      <c r="R28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>75</v>
      </c>
      <c r="S28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>12.550000190734863</v>
      </c>
      <c r="T28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>0.76999998092651367</v>
      </c>
      <c r="U28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>18.940000534057617</v>
      </c>
      <c r="V28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>0.86</v>
      </c>
      <c r="W28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>-3.6600000858306885</v>
      </c>
      <c r="X28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>1.1200000047683716</v>
      </c>
      <c r="Y28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>106</v>
      </c>
      <c r="Z28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>134</v>
      </c>
      <c r="AA28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>-0.18760000228881835</v>
      </c>
      <c r="AB28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>-9.4899997711181641E-2</v>
      </c>
      <c r="AC28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>0.9991000366210937</v>
      </c>
      <c r="AD28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>1.9999999552965163E-4</v>
      </c>
      <c r="AE28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>3</v>
      </c>
      <c r="AF28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>0.45090000152587889</v>
      </c>
      <c r="AG28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>0.15300000190734864</v>
      </c>
      <c r="AH28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>0.25840000152587889</v>
      </c>
      <c r="AI28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>0.13760000228881836</v>
      </c>
      <c r="AJ28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>0.40790000915527341</v>
      </c>
      <c r="AK28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>0</v>
      </c>
      <c r="AL28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>9.7200002670288083E-2</v>
      </c>
      <c r="AM28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>0.18200000762939453</v>
      </c>
      <c r="AN28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>0</v>
      </c>
      <c r="AO28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>0</v>
      </c>
      <c r="AP28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>0</v>
      </c>
      <c r="AQ28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>0.24180000305175781</v>
      </c>
      <c r="AR28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>7.1100001335144047E-2</v>
      </c>
      <c r="AS28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>0</v>
      </c>
      <c r="AT28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>0</v>
      </c>
      <c r="BI28" t="s">
        <v>57</v>
      </c>
      <c r="BJ28" t="s">
        <v>60</v>
      </c>
      <c r="BK28" t="s">
        <v>651</v>
      </c>
      <c r="BL28" t="str">
        <f t="shared" si="1"/>
        <v>F00001D4I1</v>
      </c>
      <c r="BM28">
        <f t="shared" si="2"/>
        <v>61</v>
      </c>
      <c r="BN2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</v>
      </c>
      <c r="BO28" t="str">
        <f t="shared" si="4"/>
        <v>1644%7C1584%7C1116%7C588%7C482%7C453%7C444%7C406%7C349%7C335%7C270%7C207%7C204%7C177%7C176%7C168%7C159%7C159%7C155%7C132%7C121%7C84%7C84%7C61%7C</v>
      </c>
    </row>
    <row r="29" spans="1:67" x14ac:dyDescent="0.3">
      <c r="A29" s="3" t="s">
        <v>180</v>
      </c>
      <c r="B29" s="5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>75</v>
      </c>
      <c r="C29" s="12">
        <v>5.792129784822464E-3</v>
      </c>
      <c r="D29" s="5">
        <f t="shared" si="0"/>
        <v>0.4344097338616848</v>
      </c>
      <c r="N29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>0.12289999961853028</v>
      </c>
      <c r="O29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>0.18620000839233397</v>
      </c>
      <c r="P29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>6.0500001907348631E-2</v>
      </c>
      <c r="Q29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>0.13729999542236329</v>
      </c>
      <c r="R29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>75</v>
      </c>
      <c r="S29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>18.700000762939453</v>
      </c>
      <c r="T29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>0.20999999344348907</v>
      </c>
      <c r="U29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>18.889999389648438</v>
      </c>
      <c r="V29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>0.92</v>
      </c>
      <c r="W29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>-3.119999885559082</v>
      </c>
      <c r="X29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>1.0900000333786011</v>
      </c>
      <c r="Y29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>103</v>
      </c>
      <c r="Z29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>118</v>
      </c>
      <c r="AA29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>-0.28260000228881837</v>
      </c>
      <c r="AB29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>-0.3306999969482422</v>
      </c>
      <c r="AC29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>0.98290000915527342</v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>4</v>
      </c>
      <c r="AF29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>0.66629997253417972</v>
      </c>
      <c r="AG29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>0.17950000762939453</v>
      </c>
      <c r="AH29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>0.108100004196167</v>
      </c>
      <c r="AI29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>4.6199998855590819E-2</v>
      </c>
      <c r="AJ29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>0.44240001678466795</v>
      </c>
      <c r="AK29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>9.6400003433227535E-2</v>
      </c>
      <c r="AL29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>0.11340000152587891</v>
      </c>
      <c r="AM29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>0.11699999809265137</v>
      </c>
      <c r="AN29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>3.2300000190734861E-2</v>
      </c>
      <c r="AO29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>0</v>
      </c>
      <c r="AP29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>0</v>
      </c>
      <c r="AQ29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>0.10640000343322754</v>
      </c>
      <c r="AR29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>9.2200002670288092E-2</v>
      </c>
      <c r="AS29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>0</v>
      </c>
      <c r="AT29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>0</v>
      </c>
      <c r="BI29" t="s">
        <v>335</v>
      </c>
      <c r="BJ29" t="s">
        <v>337</v>
      </c>
      <c r="BK29" t="s">
        <v>620</v>
      </c>
      <c r="BL29" t="str">
        <f t="shared" si="1"/>
        <v>F00000QDUD</v>
      </c>
      <c r="BM29">
        <f t="shared" si="2"/>
        <v>58</v>
      </c>
      <c r="BN2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</v>
      </c>
      <c r="BO29" t="str">
        <f t="shared" si="4"/>
        <v>1644%7C1584%7C1116%7C588%7C482%7C453%7C444%7C406%7C349%7C335%7C270%7C207%7C204%7C177%7C176%7C168%7C159%7C159%7C155%7C132%7C121%7C84%7C84%7C61%7C58%7C</v>
      </c>
    </row>
    <row r="30" spans="1:67" x14ac:dyDescent="0.3">
      <c r="A30" s="3" t="s">
        <v>428</v>
      </c>
      <c r="B30" s="5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>76</v>
      </c>
      <c r="C30" s="12">
        <v>5.7582380250096321E-3</v>
      </c>
      <c r="D30" s="5">
        <f t="shared" si="0"/>
        <v>0.43762608990073204</v>
      </c>
      <c r="N30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>0.13930000305175783</v>
      </c>
      <c r="O30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>0.19850000381469726</v>
      </c>
      <c r="P30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>9.6599998474121096E-2</v>
      </c>
      <c r="Q30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>9.6199998855590815E-2</v>
      </c>
      <c r="R30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>76</v>
      </c>
      <c r="S30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>10.630000114440918</v>
      </c>
      <c r="T30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>0.37000000476837158</v>
      </c>
      <c r="U30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>15.760000228881836</v>
      </c>
      <c r="V30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>0.83</v>
      </c>
      <c r="W30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>1.25</v>
      </c>
      <c r="X30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>0.92000001668930054</v>
      </c>
      <c r="Y30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>99</v>
      </c>
      <c r="Z30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>94</v>
      </c>
      <c r="AA30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>-0.1615999984741211</v>
      </c>
      <c r="AB30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>-0.36599998474121093</v>
      </c>
      <c r="AC30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>0.99830001831054682</v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>5</v>
      </c>
      <c r="AF30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>0</v>
      </c>
      <c r="AG30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>0</v>
      </c>
      <c r="AH30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>0.53220001220703128</v>
      </c>
      <c r="AI30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>0.46779998779296877</v>
      </c>
      <c r="AJ30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>0.27569999694824221</v>
      </c>
      <c r="AK30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>0</v>
      </c>
      <c r="AL30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>0.16149999618530272</v>
      </c>
      <c r="AM30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>0.10170000076293945</v>
      </c>
      <c r="AN30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>6.2899999618530267E-2</v>
      </c>
      <c r="AO30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>0.11609999656677246</v>
      </c>
      <c r="AP30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>1.0099999904632569E-2</v>
      </c>
      <c r="AQ30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>0.14539999961853028</v>
      </c>
      <c r="AR30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>9.3699998855590827E-2</v>
      </c>
      <c r="AS30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>3.2999999523162842E-2</v>
      </c>
      <c r="AT30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>0</v>
      </c>
      <c r="BI30" t="s">
        <v>61</v>
      </c>
      <c r="BJ30" t="s">
        <v>63</v>
      </c>
      <c r="BK30" t="s">
        <v>588</v>
      </c>
      <c r="BL30" t="str">
        <f t="shared" si="1"/>
        <v>F00000OZCY</v>
      </c>
      <c r="BM30">
        <f t="shared" si="2"/>
        <v>58</v>
      </c>
      <c r="BN3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</v>
      </c>
      <c r="BO30" t="str">
        <f t="shared" si="4"/>
        <v>1644%7C1584%7C1116%7C588%7C482%7C453%7C444%7C406%7C349%7C335%7C270%7C207%7C204%7C177%7C176%7C168%7C159%7C159%7C155%7C132%7C121%7C84%7C84%7C61%7C58%7C58%7C</v>
      </c>
    </row>
    <row r="31" spans="1:67" x14ac:dyDescent="0.3">
      <c r="A31" s="3" t="s">
        <v>401</v>
      </c>
      <c r="B31" s="5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>75</v>
      </c>
      <c r="C31" s="12">
        <v>5.5079865269362926E-3</v>
      </c>
      <c r="D31" s="5">
        <f t="shared" si="0"/>
        <v>0.41309898952022195</v>
      </c>
      <c r="N31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>6.0300002098083498E-2</v>
      </c>
      <c r="O31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>0.12949999809265136</v>
      </c>
      <c r="P31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>6.0399999618530271E-2</v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>75</v>
      </c>
      <c r="S31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>26.399999618530273</v>
      </c>
      <c r="T31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>0.15000000596046448</v>
      </c>
      <c r="U31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>15.430000305175781</v>
      </c>
      <c r="V31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>1.1000000000000001</v>
      </c>
      <c r="W31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>1.8999999761581421</v>
      </c>
      <c r="X31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>1</v>
      </c>
      <c r="Y31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>106</v>
      </c>
      <c r="Z31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>100</v>
      </c>
      <c r="AA31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>-0.19290000915527344</v>
      </c>
      <c r="AB31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>-0.25649999618530273</v>
      </c>
      <c r="AC31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>0.95499999999999996</v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>4</v>
      </c>
      <c r="AF31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>0.55680000305175781</v>
      </c>
      <c r="AG31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>0.19649999618530273</v>
      </c>
      <c r="AH31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>1.6399999856948854E-2</v>
      </c>
      <c r="AI31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>0.23030000686645508</v>
      </c>
      <c r="AJ31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>0</v>
      </c>
      <c r="AK31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>1</v>
      </c>
      <c r="AL31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>0</v>
      </c>
      <c r="AM31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>0</v>
      </c>
      <c r="AN31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>0</v>
      </c>
      <c r="AO31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>0</v>
      </c>
      <c r="AP31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>0</v>
      </c>
      <c r="AQ31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>0</v>
      </c>
      <c r="AR31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>0</v>
      </c>
      <c r="AS31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>0</v>
      </c>
      <c r="AT31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>0</v>
      </c>
      <c r="BI31" t="s">
        <v>409</v>
      </c>
      <c r="BJ31" t="s">
        <v>412</v>
      </c>
      <c r="BK31" t="s">
        <v>701</v>
      </c>
      <c r="BL31" t="str">
        <f t="shared" si="1"/>
        <v>F000011XOZ</v>
      </c>
      <c r="BM31">
        <f t="shared" si="2"/>
        <v>55</v>
      </c>
      <c r="BN3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</v>
      </c>
      <c r="BO31" t="str">
        <f t="shared" si="4"/>
        <v>1644%7C1584%7C1116%7C588%7C482%7C453%7C444%7C406%7C349%7C335%7C270%7C207%7C204%7C177%7C176%7C168%7C159%7C159%7C155%7C132%7C121%7C84%7C84%7C61%7C58%7C58%7C55%7C</v>
      </c>
    </row>
    <row r="32" spans="1:67" x14ac:dyDescent="0.3">
      <c r="A32" s="3" t="s">
        <v>450</v>
      </c>
      <c r="B32" s="5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>80</v>
      </c>
      <c r="C32" s="12">
        <v>5.4404670372605324E-3</v>
      </c>
      <c r="D32" s="5">
        <f t="shared" si="0"/>
        <v>0.43523736298084259</v>
      </c>
      <c r="N32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>0.17870000839233399</v>
      </c>
      <c r="O32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>0.18940000534057616</v>
      </c>
      <c r="P32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>0.06</v>
      </c>
      <c r="Q32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>9.8299999237060551E-2</v>
      </c>
      <c r="R32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>80</v>
      </c>
      <c r="S32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>9.5699996948242187</v>
      </c>
      <c r="T32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>0.28999999165534973</v>
      </c>
      <c r="U32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>17.649999618530273</v>
      </c>
      <c r="V32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>1.29</v>
      </c>
      <c r="W32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>-0.52999997138977051</v>
      </c>
      <c r="X32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>1.0299999713897705</v>
      </c>
      <c r="Y32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>107</v>
      </c>
      <c r="Z32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>112</v>
      </c>
      <c r="AA32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>-0.22170000076293944</v>
      </c>
      <c r="AB32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>-0.36599998474121093</v>
      </c>
      <c r="AC32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>0.97440002441406248</v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>4</v>
      </c>
      <c r="AF32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>0.01</v>
      </c>
      <c r="AG32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>0</v>
      </c>
      <c r="AH32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>0.64550003051757809</v>
      </c>
      <c r="AI32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>0.34450000762939453</v>
      </c>
      <c r="AJ32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>0.50450000762939451</v>
      </c>
      <c r="AK32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>6.0999999046325686E-2</v>
      </c>
      <c r="AL32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>0.15210000038146973</v>
      </c>
      <c r="AM32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>7.3899998664855956E-2</v>
      </c>
      <c r="AN32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>7.03000020980835E-2</v>
      </c>
      <c r="AO32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>9.7000002861022949E-3</v>
      </c>
      <c r="AP32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>0</v>
      </c>
      <c r="AQ32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>5.7600002288818362E-2</v>
      </c>
      <c r="AR32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>5.8800001144409177E-2</v>
      </c>
      <c r="AS32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>1.2200000286102295E-2</v>
      </c>
      <c r="AT32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>0</v>
      </c>
      <c r="BI32" t="s">
        <v>64</v>
      </c>
      <c r="BJ32" t="s">
        <v>66</v>
      </c>
      <c r="BK32" t="s">
        <v>702</v>
      </c>
      <c r="BL32" t="str">
        <f t="shared" si="1"/>
        <v>F0GBR06IIW</v>
      </c>
      <c r="BM32">
        <f t="shared" si="2"/>
        <v>54</v>
      </c>
      <c r="BN3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</v>
      </c>
      <c r="BO32" t="str">
        <f t="shared" si="4"/>
        <v>1644%7C1584%7C1116%7C588%7C482%7C453%7C444%7C406%7C349%7C335%7C270%7C207%7C204%7C177%7C176%7C168%7C159%7C159%7C155%7C132%7C121%7C84%7C84%7C61%7C58%7C58%7C55%7C54%7C</v>
      </c>
    </row>
    <row r="33" spans="1:67" ht="18" customHeight="1" x14ac:dyDescent="0.3">
      <c r="A33" s="3" t="s">
        <v>319</v>
      </c>
      <c r="B33" s="5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>82</v>
      </c>
      <c r="C33" s="12">
        <v>4.952799528837204E-3</v>
      </c>
      <c r="D33" s="5">
        <f t="shared" si="0"/>
        <v>0.40612956136465073</v>
      </c>
      <c r="F33" s="139" t="s">
        <v>554</v>
      </c>
      <c r="G33" s="140"/>
      <c r="H33" s="140"/>
      <c r="N33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>5.3000001907348632E-2</v>
      </c>
      <c r="O33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>0.27159999847412108</v>
      </c>
      <c r="P33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>0.1665999984741211</v>
      </c>
      <c r="Q33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>0.11829999923706054</v>
      </c>
      <c r="R33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>82</v>
      </c>
      <c r="S33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>12.010000228881836</v>
      </c>
      <c r="T33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>1</v>
      </c>
      <c r="U33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>16.659999847412109</v>
      </c>
      <c r="V33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>1.35</v>
      </c>
      <c r="W33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>8.4499998092651367</v>
      </c>
      <c r="X33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>0.98000001907348633</v>
      </c>
      <c r="Y33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>121</v>
      </c>
      <c r="Z33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>78</v>
      </c>
      <c r="AA33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>-0.1534000015258789</v>
      </c>
      <c r="AB33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>-0.24530000686645509</v>
      </c>
      <c r="AC33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>1.0230000305175782</v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>5</v>
      </c>
      <c r="AF33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>5.0000000000000001E-3</v>
      </c>
      <c r="AG33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>0.995</v>
      </c>
      <c r="AH33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>0</v>
      </c>
      <c r="AI33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>0</v>
      </c>
      <c r="AJ33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>8.3000001907348631E-2</v>
      </c>
      <c r="AK33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>0</v>
      </c>
      <c r="AL33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>0.15229999542236328</v>
      </c>
      <c r="AM33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>0.15949999809265136</v>
      </c>
      <c r="AN33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>6.3499999046325681E-2</v>
      </c>
      <c r="AO33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>4.7999998927116391E-3</v>
      </c>
      <c r="AP33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>5.5799999237060548E-2</v>
      </c>
      <c r="AQ33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>9.2600002288818359E-2</v>
      </c>
      <c r="AR33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>0.3388999938964844</v>
      </c>
      <c r="AS33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>1.2699999809265138E-2</v>
      </c>
      <c r="AT33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>3.6900000572204592E-2</v>
      </c>
      <c r="BI33" t="s">
        <v>413</v>
      </c>
      <c r="BJ33" t="s">
        <v>416</v>
      </c>
      <c r="BK33" t="s">
        <v>609</v>
      </c>
      <c r="BL33" t="str">
        <f t="shared" si="1"/>
        <v>F00000PC3F</v>
      </c>
      <c r="BM33">
        <f t="shared" si="2"/>
        <v>49</v>
      </c>
      <c r="BN3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</v>
      </c>
      <c r="BO33" t="str">
        <f t="shared" si="4"/>
        <v>1644%7C1584%7C1116%7C588%7C482%7C453%7C444%7C406%7C349%7C335%7C270%7C207%7C204%7C177%7C176%7C168%7C159%7C159%7C155%7C132%7C121%7C84%7C84%7C61%7C58%7C58%7C55%7C54%7C49%7C</v>
      </c>
    </row>
    <row r="34" spans="1:67" ht="18" customHeight="1" x14ac:dyDescent="0.3">
      <c r="A34" s="3" t="s">
        <v>326</v>
      </c>
      <c r="B34" s="5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>62</v>
      </c>
      <c r="C34" s="12">
        <v>4.2984732426702976E-3</v>
      </c>
      <c r="D34" s="5">
        <f t="shared" si="0"/>
        <v>0.26650534104555845</v>
      </c>
      <c r="F34" s="139" t="s">
        <v>555</v>
      </c>
      <c r="G34" s="140"/>
      <c r="H34" s="140"/>
      <c r="N34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>0.19350000381469726</v>
      </c>
      <c r="O34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>0.23110000610351564</v>
      </c>
      <c r="P34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>0.15390000343322754</v>
      </c>
      <c r="Q34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>0.11539999961853027</v>
      </c>
      <c r="R34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>62</v>
      </c>
      <c r="S34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>10.789999961853027</v>
      </c>
      <c r="T34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>1.1299999952316284</v>
      </c>
      <c r="U34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>12.149999618530273</v>
      </c>
      <c r="V34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>0.86</v>
      </c>
      <c r="W34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>2.4200000762939453</v>
      </c>
      <c r="X34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>0.93999999761581421</v>
      </c>
      <c r="Y34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>103</v>
      </c>
      <c r="Z34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>93</v>
      </c>
      <c r="AA34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>-0.135600004196167</v>
      </c>
      <c r="AB34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>-0.17739999771118165</v>
      </c>
      <c r="AC34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>0.96050003051757815</v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>5</v>
      </c>
      <c r="AF34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>2.2999999523162843E-2</v>
      </c>
      <c r="AG34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>0.97699996948242185</v>
      </c>
      <c r="AH34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>0</v>
      </c>
      <c r="AI34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>0</v>
      </c>
      <c r="AJ34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>3.0399999618530273E-2</v>
      </c>
      <c r="AK34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>0.13699999809265137</v>
      </c>
      <c r="AL34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>0.23260000228881836</v>
      </c>
      <c r="AM34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>2.9000000953674318E-2</v>
      </c>
      <c r="AN34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>0.10100000381469726</v>
      </c>
      <c r="AO34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>0.11060000419616699</v>
      </c>
      <c r="AP34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>4.7699999809265134E-2</v>
      </c>
      <c r="AQ34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>9.4300003051757814E-2</v>
      </c>
      <c r="AR34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>0.15300000190734864</v>
      </c>
      <c r="AS34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>0.02</v>
      </c>
      <c r="AT34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>4.4400000572204591E-2</v>
      </c>
      <c r="BI34" t="s">
        <v>67</v>
      </c>
      <c r="BJ34" t="s">
        <v>69</v>
      </c>
      <c r="BK34" t="s">
        <v>652</v>
      </c>
      <c r="BL34" t="str">
        <f t="shared" si="1"/>
        <v>F000010L0W</v>
      </c>
      <c r="BM34">
        <f t="shared" si="2"/>
        <v>43</v>
      </c>
      <c r="BN3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</v>
      </c>
      <c r="BO34" t="str">
        <f t="shared" si="4"/>
        <v>1644%7C1584%7C1116%7C588%7C482%7C453%7C444%7C406%7C349%7C335%7C270%7C207%7C204%7C177%7C176%7C168%7C159%7C159%7C155%7C132%7C121%7C84%7C84%7C61%7C58%7C58%7C55%7C54%7C49%7C43%7C</v>
      </c>
    </row>
    <row r="35" spans="1:67" x14ac:dyDescent="0.3">
      <c r="A35" s="3" t="s">
        <v>393</v>
      </c>
      <c r="B35" s="5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>65</v>
      </c>
      <c r="C35" s="12">
        <v>4.2940047569572926E-3</v>
      </c>
      <c r="D35" s="5">
        <f t="shared" si="0"/>
        <v>0.27911030920222402</v>
      </c>
      <c r="F35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&amp;marketValues=1644%7C1584%7C1116%7C588%7C482%7C453%7C444%7C406%7C349%7C335%7C270%7C207%7C204%7C177%7C176%7C168%7C159%7C159%7C155%7C132%7C121%7C84%7C84%7C61%7C58%7C58%7C55%7C54%7C49%7C43%7C43%7C37%7C37%7C10%7C&amp;typeids=FO%7CFO%7CFO%7CFO%7CFO%7CFO%7CFO%7CFO%7CFO%7CFO%7CFO%7CFO%7CFO%7CFO%7CFO%7CFO%7CFO%7CFO%7CFO%7CFO%7CFO%7CFO%7CFO%7CFO%7CFO%7CFO%7CFO%7CFO%7CFO%7CFO%7CFO%7CFO%7CFO%7CFO%7C</v>
      </c>
      <c r="N35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>6.0900001525878905E-2</v>
      </c>
      <c r="O35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>0.11510000228881836</v>
      </c>
      <c r="P35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>4.4600000381469725E-2</v>
      </c>
      <c r="Q35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>0.1</v>
      </c>
      <c r="R35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>65</v>
      </c>
      <c r="S35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>20.430000305175781</v>
      </c>
      <c r="T35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>5.000000074505806E-2</v>
      </c>
      <c r="U35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>16.430000305175781</v>
      </c>
      <c r="V35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>1.1100000000000001</v>
      </c>
      <c r="W35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>-0.60000002384185791</v>
      </c>
      <c r="X35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>1.0199999809265137</v>
      </c>
      <c r="Y35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>103</v>
      </c>
      <c r="Z35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>106</v>
      </c>
      <c r="AA35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>-0.21229999542236327</v>
      </c>
      <c r="AB35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>-0.3096999931335449</v>
      </c>
      <c r="AC35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>0.97349998474121091</v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>4</v>
      </c>
      <c r="AF35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>0.63810001373291014</v>
      </c>
      <c r="AG35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>0.29530000686645508</v>
      </c>
      <c r="AH35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>4.6999998092651367E-2</v>
      </c>
      <c r="AI35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>1.9600000381469727E-2</v>
      </c>
      <c r="AJ35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>4.1999998092651369E-2</v>
      </c>
      <c r="AK35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>1.5099999904632568E-2</v>
      </c>
      <c r="AL35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>0</v>
      </c>
      <c r="AM35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>0</v>
      </c>
      <c r="AN35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>0.15619999885559083</v>
      </c>
      <c r="AO35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>0</v>
      </c>
      <c r="AP35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>0</v>
      </c>
      <c r="AQ35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>0</v>
      </c>
      <c r="AR35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>0.65339996337890627</v>
      </c>
      <c r="AS35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>0</v>
      </c>
      <c r="AT35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>0.13329999923706054</v>
      </c>
      <c r="BI35" t="s">
        <v>272</v>
      </c>
      <c r="BJ35" t="s">
        <v>275</v>
      </c>
      <c r="BK35" t="s">
        <v>724</v>
      </c>
      <c r="BL35" t="str">
        <f t="shared" si="1"/>
        <v>F00000W1HJ</v>
      </c>
      <c r="BM35">
        <f t="shared" si="2"/>
        <v>43</v>
      </c>
      <c r="BN3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</v>
      </c>
      <c r="BO35" t="str">
        <f t="shared" si="4"/>
        <v>1644%7C1584%7C1116%7C588%7C482%7C453%7C444%7C406%7C349%7C335%7C270%7C207%7C204%7C177%7C176%7C168%7C159%7C159%7C155%7C132%7C121%7C84%7C84%7C61%7C58%7C58%7C55%7C54%7C49%7C43%7C43%7C</v>
      </c>
    </row>
    <row r="36" spans="1:67" x14ac:dyDescent="0.3">
      <c r="A36" s="3" t="s">
        <v>263</v>
      </c>
      <c r="B36" s="5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>69</v>
      </c>
      <c r="C36" s="12">
        <v>3.7464643828570843E-3</v>
      </c>
      <c r="D36" s="5">
        <f t="shared" si="0"/>
        <v>0.25850604241713881</v>
      </c>
      <c r="N36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>0.13380000114440918</v>
      </c>
      <c r="O36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>0.1484000015258789</v>
      </c>
      <c r="P36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>8.970000267028809E-2</v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>69</v>
      </c>
      <c r="S36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>9.9099998474121094</v>
      </c>
      <c r="T36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>0.31999999284744263</v>
      </c>
      <c r="U36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>12.579999923706055</v>
      </c>
      <c r="V36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>1.02</v>
      </c>
      <c r="W36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>2.2799999713897705</v>
      </c>
      <c r="X36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>0.79000002145767212</v>
      </c>
      <c r="Y36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>83</v>
      </c>
      <c r="Z36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>70</v>
      </c>
      <c r="AA36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>-0.13220000267028809</v>
      </c>
      <c r="AB36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>-0.31540000915527344</v>
      </c>
      <c r="AC36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>0.95099998474121095</v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>4</v>
      </c>
      <c r="AF36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>2.6600000858306886E-2</v>
      </c>
      <c r="AG36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>0.60009998321533198</v>
      </c>
      <c r="AH36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>0.19090000152587891</v>
      </c>
      <c r="AI36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>0.18260000228881837</v>
      </c>
      <c r="AJ36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>4.3600001335144044E-2</v>
      </c>
      <c r="AK36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>7.0599999427795407E-2</v>
      </c>
      <c r="AL36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>2.0999999344348905E-3</v>
      </c>
      <c r="AM36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>9.1499996185302732E-2</v>
      </c>
      <c r="AN36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>0.16950000762939454</v>
      </c>
      <c r="AO36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>7.4000000953674316E-2</v>
      </c>
      <c r="AP36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>9.7700004577636723E-2</v>
      </c>
      <c r="AQ36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>0.26049999237060545</v>
      </c>
      <c r="AR36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>0.19059999465942382</v>
      </c>
      <c r="AS36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>0</v>
      </c>
      <c r="AT36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>0</v>
      </c>
      <c r="BI36" t="s">
        <v>417</v>
      </c>
      <c r="BJ36" t="s">
        <v>420</v>
      </c>
      <c r="BK36" t="s">
        <v>703</v>
      </c>
      <c r="BL36" t="str">
        <f t="shared" si="1"/>
        <v>F000013GVI</v>
      </c>
      <c r="BM36">
        <f t="shared" si="2"/>
        <v>37</v>
      </c>
      <c r="BN3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</v>
      </c>
      <c r="BO36" t="str">
        <f t="shared" si="4"/>
        <v>1644%7C1584%7C1116%7C588%7C482%7C453%7C444%7C406%7C349%7C335%7C270%7C207%7C204%7C177%7C176%7C168%7C159%7C159%7C155%7C132%7C121%7C84%7C84%7C61%7C58%7C58%7C55%7C54%7C49%7C43%7C43%7C37%7C</v>
      </c>
    </row>
    <row r="37" spans="1:67" x14ac:dyDescent="0.3">
      <c r="A37" s="3" t="s">
        <v>61</v>
      </c>
      <c r="B37" s="5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>55</v>
      </c>
      <c r="C37" s="12">
        <v>3.6834480706602335E-3</v>
      </c>
      <c r="D37" s="5">
        <f t="shared" si="0"/>
        <v>0.20258964388631284</v>
      </c>
      <c r="F37" s="138" t="s">
        <v>844</v>
      </c>
      <c r="N37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>0.21139999389648437</v>
      </c>
      <c r="O37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>0.20850000381469727</v>
      </c>
      <c r="P37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>0.13229999542236329</v>
      </c>
      <c r="Q37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>0.11279999732971191</v>
      </c>
      <c r="R37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>55</v>
      </c>
      <c r="S37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>11.970000267028809</v>
      </c>
      <c r="T37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>0.5899999737739563</v>
      </c>
      <c r="U37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>11.430000305175781</v>
      </c>
      <c r="V37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>0.9</v>
      </c>
      <c r="W37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>0.18000000715255737</v>
      </c>
      <c r="X37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>0.98000001907348633</v>
      </c>
      <c r="Y37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>96</v>
      </c>
      <c r="Z37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>93</v>
      </c>
      <c r="AA37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>-0.12409999847412109</v>
      </c>
      <c r="AB37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>-0.22590000152587891</v>
      </c>
      <c r="AC37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>0.93029998779296874</v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>4</v>
      </c>
      <c r="AF37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>0.49259998321533205</v>
      </c>
      <c r="AG37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>0.44840000152587889</v>
      </c>
      <c r="AH37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>5.9000000953674317E-2</v>
      </c>
      <c r="AI37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>0</v>
      </c>
      <c r="AJ37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>5.9000000953674317E-2</v>
      </c>
      <c r="AK37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>0.15199999809265136</v>
      </c>
      <c r="AL37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>0.35180000305175779</v>
      </c>
      <c r="AM37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>0.11770000457763671</v>
      </c>
      <c r="AN37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>0.05</v>
      </c>
      <c r="AO37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>9.4799995422363281E-2</v>
      </c>
      <c r="AP37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>5.2699999809265138E-2</v>
      </c>
      <c r="AQ37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>5.2300000190734865E-2</v>
      </c>
      <c r="AR37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>6.9699997901916499E-2</v>
      </c>
      <c r="AS37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>0</v>
      </c>
      <c r="AT37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>0</v>
      </c>
      <c r="BI37" t="s">
        <v>250</v>
      </c>
      <c r="BJ37" t="s">
        <v>252</v>
      </c>
      <c r="BK37" t="s">
        <v>719</v>
      </c>
      <c r="BL37" t="str">
        <f t="shared" si="1"/>
        <v>F00000WOMZ</v>
      </c>
      <c r="BM37">
        <f t="shared" si="2"/>
        <v>37</v>
      </c>
      <c r="BN3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</v>
      </c>
      <c r="BO37" t="str">
        <f t="shared" si="4"/>
        <v>1644%7C1584%7C1116%7C588%7C482%7C453%7C444%7C406%7C349%7C335%7C270%7C207%7C204%7C177%7C176%7C168%7C159%7C159%7C155%7C132%7C121%7C84%7C84%7C61%7C58%7C58%7C55%7C54%7C49%7C43%7C43%7C37%7C37%7C</v>
      </c>
    </row>
    <row r="38" spans="1:67" x14ac:dyDescent="0.3">
      <c r="A38" s="3" t="s">
        <v>413</v>
      </c>
      <c r="B38" s="5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>80</v>
      </c>
      <c r="C38" s="12">
        <v>1E-3</v>
      </c>
      <c r="D38" s="5">
        <f t="shared" si="0"/>
        <v>0.08</v>
      </c>
      <c r="F38" s="138" t="s">
        <v>845</v>
      </c>
      <c r="N38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>0.11319999694824219</v>
      </c>
      <c r="O38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>0.14899999618530274</v>
      </c>
      <c r="P38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>0.12939999580383302</v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>80</v>
      </c>
      <c r="S38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>12.020000457763672</v>
      </c>
      <c r="T38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>1.7200000286102295</v>
      </c>
      <c r="U38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>4.690000057220459</v>
      </c>
      <c r="V38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>1.44</v>
      </c>
      <c r="W38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>7.809999942779541</v>
      </c>
      <c r="X38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>9.9999997764825821E-3</v>
      </c>
      <c r="Y38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>72</v>
      </c>
      <c r="Z38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>-42</v>
      </c>
      <c r="AA38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>-0.06</v>
      </c>
      <c r="AB38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>-1.1200000047683716E-2</v>
      </c>
      <c r="AC38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>9.800000190734863E-2</v>
      </c>
      <c r="AD38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>0.10220000267028809</v>
      </c>
      <c r="AE38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>5</v>
      </c>
      <c r="AF38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>5.799999833106995E-3</v>
      </c>
      <c r="AG38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>2.8999999165534975E-3</v>
      </c>
      <c r="AH38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>0.63619998931884769</v>
      </c>
      <c r="AI38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>0.35439998626708985</v>
      </c>
      <c r="AJ38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>0.16090000152587891</v>
      </c>
      <c r="AK38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>8.619999885559082E-2</v>
      </c>
      <c r="AL38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>0.145600004196167</v>
      </c>
      <c r="AM38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>5.070000171661377E-2</v>
      </c>
      <c r="AN38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>8.1999998092651363E-2</v>
      </c>
      <c r="AO38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>6.9899997711181647E-2</v>
      </c>
      <c r="AP38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>2.1400001049041748E-2</v>
      </c>
      <c r="AQ38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>0.11090000152587891</v>
      </c>
      <c r="AR38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>0.18909999847412109</v>
      </c>
      <c r="AS38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>6.590000152587891E-2</v>
      </c>
      <c r="AT38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>1.7400000095367432E-2</v>
      </c>
      <c r="BI38" t="s">
        <v>422</v>
      </c>
      <c r="BJ38" t="s">
        <v>424</v>
      </c>
      <c r="BK38" t="s">
        <v>587</v>
      </c>
      <c r="BL38" t="str">
        <f t="shared" si="1"/>
        <v>F00000YM8Y</v>
      </c>
      <c r="BM38">
        <f t="shared" si="2"/>
        <v>10</v>
      </c>
      <c r="BN3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8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39" spans="1:67" x14ac:dyDescent="0.3">
      <c r="A39" s="3"/>
      <c r="B39" s="5"/>
      <c r="C39" s="12"/>
      <c r="D39" s="5"/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70</v>
      </c>
      <c r="BJ39" t="s">
        <v>73</v>
      </c>
      <c r="BK39" t="s">
        <v>659</v>
      </c>
      <c r="BL39" t="str">
        <f t="shared" si="1"/>
        <v/>
      </c>
      <c r="BM39" t="str">
        <f t="shared" si="2"/>
        <v/>
      </c>
      <c r="BN3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9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0" spans="1:67" x14ac:dyDescent="0.3">
      <c r="A40" s="3"/>
      <c r="B40" s="5"/>
      <c r="C40" s="12"/>
      <c r="D40" s="5"/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338</v>
      </c>
      <c r="BJ40" t="s">
        <v>341</v>
      </c>
      <c r="BK40" t="s">
        <v>662</v>
      </c>
      <c r="BL40" t="str">
        <f t="shared" si="1"/>
        <v/>
      </c>
      <c r="BM40" t="str">
        <f t="shared" si="2"/>
        <v/>
      </c>
      <c r="BN4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0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1" spans="1:67" x14ac:dyDescent="0.3">
      <c r="A41" s="3"/>
      <c r="B41" s="5"/>
      <c r="C41" s="12"/>
      <c r="D41" s="5"/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74</v>
      </c>
      <c r="BJ41" t="s">
        <v>76</v>
      </c>
      <c r="BK41" t="s">
        <v>627</v>
      </c>
      <c r="BL41" t="str">
        <f t="shared" si="1"/>
        <v/>
      </c>
      <c r="BM41" t="str">
        <f t="shared" si="2"/>
        <v/>
      </c>
      <c r="BN4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1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2" spans="1:67" x14ac:dyDescent="0.3">
      <c r="A42" s="3"/>
      <c r="B42" s="5"/>
      <c r="C42" s="12"/>
      <c r="D42" s="5"/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77</v>
      </c>
      <c r="BJ42" t="s">
        <v>79</v>
      </c>
      <c r="BK42" t="s">
        <v>714</v>
      </c>
      <c r="BL42" t="str">
        <f t="shared" si="1"/>
        <v/>
      </c>
      <c r="BM42" t="str">
        <f t="shared" si="2"/>
        <v/>
      </c>
      <c r="BN4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2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3" spans="1:67" x14ac:dyDescent="0.3">
      <c r="A43" s="3"/>
      <c r="B43" s="5"/>
      <c r="C43" s="12"/>
      <c r="D43" s="5"/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80</v>
      </c>
      <c r="BJ43" t="s">
        <v>82</v>
      </c>
      <c r="BK43" t="s">
        <v>698</v>
      </c>
      <c r="BL43" t="str">
        <f t="shared" si="1"/>
        <v/>
      </c>
      <c r="BM43" t="str">
        <f t="shared" si="2"/>
        <v/>
      </c>
      <c r="BN4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3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4" spans="1:67" x14ac:dyDescent="0.3">
      <c r="A44" s="3"/>
      <c r="B44" s="5"/>
      <c r="C44" s="12"/>
      <c r="D44" s="5"/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276</v>
      </c>
      <c r="BJ44" t="s">
        <v>278</v>
      </c>
      <c r="BK44" t="s">
        <v>605</v>
      </c>
      <c r="BL44" t="str">
        <f t="shared" si="1"/>
        <v/>
      </c>
      <c r="BM44" t="str">
        <f t="shared" si="2"/>
        <v/>
      </c>
      <c r="BN4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4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5" spans="1:67" x14ac:dyDescent="0.3">
      <c r="BI45" t="s">
        <v>387</v>
      </c>
      <c r="BJ45" t="s">
        <v>389</v>
      </c>
      <c r="BK45" t="s">
        <v>597</v>
      </c>
    </row>
    <row r="46" spans="1:67" ht="17.399999999999999" x14ac:dyDescent="0.3">
      <c r="A46" s="25" t="s">
        <v>556</v>
      </c>
      <c r="BI46" t="s">
        <v>83</v>
      </c>
      <c r="BJ46" t="s">
        <v>86</v>
      </c>
      <c r="BK46" t="s">
        <v>666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0.19839085902039438</v>
      </c>
      <c r="BI47" t="s">
        <v>279</v>
      </c>
      <c r="BJ47" t="s">
        <v>281</v>
      </c>
      <c r="BK47" t="s">
        <v>691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0.18197149774267996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0.12812219578097345</v>
      </c>
      <c r="BI49" t="s">
        <v>87</v>
      </c>
      <c r="BJ49" t="s">
        <v>89</v>
      </c>
      <c r="BK49" t="s">
        <v>628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0.11978688306150914</v>
      </c>
      <c r="BI50" t="s">
        <v>397</v>
      </c>
      <c r="BJ50" t="s">
        <v>400</v>
      </c>
      <c r="BK50" t="s">
        <v>695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66.614410675272367</v>
      </c>
      <c r="BI51" t="s">
        <v>285</v>
      </c>
      <c r="BJ51" t="s">
        <v>287</v>
      </c>
      <c r="BK51" t="s">
        <v>584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12.432677321642936</v>
      </c>
      <c r="C52" s="33" t="str">
        <f>IF(AND(ISNUMBER($B52),$B52&gt;20),"Tu cartera tiene un PER demasiado elevado",IF(AND(ISNUMBER($B52),$B52&gt;=16,$B52&lt;=20),"Tu cartera tiene un PER algo elevado",""))</f>
        <v/>
      </c>
      <c r="BI52" t="s">
        <v>253</v>
      </c>
      <c r="BJ52" t="s">
        <v>256</v>
      </c>
      <c r="BK52" t="s">
        <v>592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0.6990346841036742</v>
      </c>
      <c r="BI53" t="s">
        <v>257</v>
      </c>
      <c r="BJ53" t="s">
        <v>259</v>
      </c>
      <c r="BK53" t="s">
        <v>660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14.488611016120275</v>
      </c>
      <c r="BI54" t="s">
        <v>509</v>
      </c>
      <c r="BJ54" t="s">
        <v>512</v>
      </c>
      <c r="BK54" t="s">
        <v>673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1.3321188240838582</v>
      </c>
      <c r="BI55" t="s">
        <v>90</v>
      </c>
      <c r="BJ55" t="s">
        <v>93</v>
      </c>
      <c r="BK55" t="s">
        <v>602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5.3543551700301997</v>
      </c>
      <c r="BI56" t="s">
        <v>94</v>
      </c>
      <c r="BJ56" t="s">
        <v>96</v>
      </c>
      <c r="BK56" t="s">
        <v>583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0.84897367218480957</v>
      </c>
      <c r="BI57" t="s">
        <v>97</v>
      </c>
      <c r="BJ57" t="s">
        <v>99</v>
      </c>
      <c r="BK57" t="s">
        <v>581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101.93248476526993</v>
      </c>
      <c r="C58" s="33" t="str">
        <f>IF(AND(ISNUMBER($B58),$B58&lt;90),"Tu cartera aprovecha poco las subidas en relación con los fondos de su categoria","")</f>
        <v/>
      </c>
      <c r="BI58" t="s">
        <v>100</v>
      </c>
      <c r="BJ58" t="s">
        <v>102</v>
      </c>
      <c r="BK58" t="s">
        <v>639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69.698800756055917</v>
      </c>
      <c r="C59" s="33" t="str">
        <f>IF(AND(ISNUMBER($B59),$B59&gt;105),"Tu cartera sufre demasiado las bajadas en relación con los fondos de su categoria","")</f>
        <v/>
      </c>
      <c r="BI59" t="s">
        <v>103</v>
      </c>
      <c r="BJ59" t="s">
        <v>105</v>
      </c>
      <c r="BK59" t="s">
        <v>675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-0.13541803034091029</v>
      </c>
      <c r="BI60" t="s">
        <v>342</v>
      </c>
      <c r="BJ60" t="s">
        <v>344</v>
      </c>
      <c r="BK60" t="s">
        <v>682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-0.21615020985274097</v>
      </c>
      <c r="BI61" t="s">
        <v>106</v>
      </c>
      <c r="BJ61" t="s">
        <v>108</v>
      </c>
      <c r="BK61" t="s">
        <v>649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0.85194359801742869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BI62" t="s">
        <v>109</v>
      </c>
      <c r="BJ62" t="s">
        <v>111</v>
      </c>
      <c r="BK62" t="s">
        <v>598</v>
      </c>
    </row>
    <row r="63" spans="1:63" x14ac:dyDescent="0.3">
      <c r="A63" s="28" t="s">
        <v>564</v>
      </c>
      <c r="B63" s="36">
        <f>IFERROR(SUMPRODUCT($C$5:$C$44,$AD$5:$AD$44)/SUMPRODUCT($C$5:$C$44,--ISNUMBER($AD$5:$AD$44)),"")</f>
        <v>0.14935533850889379</v>
      </c>
      <c r="BI63" t="s">
        <v>345</v>
      </c>
      <c r="BJ63" t="s">
        <v>348</v>
      </c>
      <c r="BK63" t="s">
        <v>667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4.2993675905006903</v>
      </c>
      <c r="BI64" t="s">
        <v>349</v>
      </c>
      <c r="BJ64" t="s">
        <v>350</v>
      </c>
      <c r="BK64" t="s">
        <v>637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0.31748554455160999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/>
      </c>
      <c r="BI65" t="s">
        <v>112</v>
      </c>
      <c r="BJ65" t="s">
        <v>114</v>
      </c>
      <c r="BK65" t="s">
        <v>638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0.40561203253693867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/>
      </c>
      <c r="BI66" t="s">
        <v>115</v>
      </c>
      <c r="BJ66" t="s">
        <v>117</v>
      </c>
      <c r="BK66" t="s">
        <v>655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8.8911490550305505E-2</v>
      </c>
      <c r="BI67" t="s">
        <v>118</v>
      </c>
      <c r="BJ67" t="s">
        <v>121</v>
      </c>
      <c r="BK67" t="s">
        <v>590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0.1748880888775505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/>
      </c>
      <c r="BI68" t="s">
        <v>122</v>
      </c>
      <c r="BJ68" t="s">
        <v>124</v>
      </c>
      <c r="BK68" t="s">
        <v>623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0.14195768980033688</v>
      </c>
      <c r="C69" s="33" t="str">
        <f t="shared" ref="C69:C79" si="5">IF(AND(ISNUMBER($B69),$B69&gt;=0.2),"Podría ser que estuvieras demasiado expuesto a este sector","")</f>
        <v/>
      </c>
      <c r="BI69" t="s">
        <v>260</v>
      </c>
      <c r="BJ69" t="s">
        <v>262</v>
      </c>
      <c r="BK69" t="s">
        <v>676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8.8250406560393527E-2</v>
      </c>
      <c r="C70" s="33" t="str">
        <f t="shared" si="5"/>
        <v/>
      </c>
      <c r="BI70" t="s">
        <v>425</v>
      </c>
      <c r="BJ70" t="s">
        <v>427</v>
      </c>
      <c r="BK70" t="s">
        <v>663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9.5782064428635724E-2</v>
      </c>
      <c r="C71" s="33" t="str">
        <f t="shared" si="5"/>
        <v/>
      </c>
      <c r="BI71" t="s">
        <v>351</v>
      </c>
      <c r="BJ71" t="s">
        <v>353</v>
      </c>
      <c r="BK71" t="s">
        <v>601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4.970745202374928E-2</v>
      </c>
      <c r="C72" s="33" t="str">
        <f t="shared" si="5"/>
        <v/>
      </c>
      <c r="BI72" t="s">
        <v>125</v>
      </c>
      <c r="BJ72" t="s">
        <v>127</v>
      </c>
      <c r="BK72" t="s">
        <v>705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8.6975050114535074E-2</v>
      </c>
      <c r="C73" s="33" t="str">
        <f t="shared" si="5"/>
        <v/>
      </c>
      <c r="BI73" t="s">
        <v>128</v>
      </c>
      <c r="BJ73" t="s">
        <v>130</v>
      </c>
      <c r="BK73" t="s">
        <v>726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4.5179044817609378E-2</v>
      </c>
      <c r="C74" s="33" t="str">
        <f t="shared" si="5"/>
        <v/>
      </c>
      <c r="BI74" t="s">
        <v>131</v>
      </c>
      <c r="BJ74" t="s">
        <v>133</v>
      </c>
      <c r="BK74" t="s">
        <v>664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0.15104858127040788</v>
      </c>
      <c r="C75" s="33" t="str">
        <f t="shared" si="5"/>
        <v/>
      </c>
      <c r="BI75" t="s">
        <v>288</v>
      </c>
      <c r="BJ75" t="s">
        <v>290</v>
      </c>
      <c r="BK75" t="s">
        <v>657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0.15208718825608497</v>
      </c>
      <c r="C76" s="33" t="str">
        <f t="shared" si="5"/>
        <v/>
      </c>
      <c r="BI76" t="s">
        <v>291</v>
      </c>
      <c r="BJ76" t="s">
        <v>293</v>
      </c>
      <c r="BK76" t="s">
        <v>672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0.13255140030469301</v>
      </c>
      <c r="C77" s="33" t="str">
        <f t="shared" si="5"/>
        <v/>
      </c>
      <c r="BI77" t="s">
        <v>134</v>
      </c>
      <c r="BJ77" t="s">
        <v>135</v>
      </c>
      <c r="BK77" t="s">
        <v>654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3.4308556914053052E-2</v>
      </c>
      <c r="C78" s="33" t="str">
        <f t="shared" si="5"/>
        <v/>
      </c>
      <c r="BI78" t="s">
        <v>294</v>
      </c>
      <c r="BJ78" t="s">
        <v>296</v>
      </c>
      <c r="BK78" t="s">
        <v>665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8.9701741348427264E-3</v>
      </c>
      <c r="C79" s="33" t="str">
        <f t="shared" si="5"/>
        <v/>
      </c>
      <c r="BI79" t="s">
        <v>136</v>
      </c>
      <c r="BJ79" t="s">
        <v>138</v>
      </c>
      <c r="BK79" t="s">
        <v>640</v>
      </c>
    </row>
    <row r="80" spans="1:63" x14ac:dyDescent="0.3">
      <c r="BI80" t="s">
        <v>139</v>
      </c>
      <c r="BJ80" t="s">
        <v>141</v>
      </c>
      <c r="BK80" t="s">
        <v>647</v>
      </c>
    </row>
    <row r="81" spans="61:63" x14ac:dyDescent="0.3">
      <c r="BI81" t="s">
        <v>142</v>
      </c>
      <c r="BJ81" t="s">
        <v>144</v>
      </c>
      <c r="BK81" t="s">
        <v>725</v>
      </c>
    </row>
    <row r="82" spans="61:63" x14ac:dyDescent="0.3">
      <c r="BI82" t="s">
        <v>390</v>
      </c>
      <c r="BJ82" t="s">
        <v>392</v>
      </c>
      <c r="BK82" t="s">
        <v>671</v>
      </c>
    </row>
    <row r="83" spans="61:63" x14ac:dyDescent="0.3">
      <c r="BI83" t="s">
        <v>145</v>
      </c>
      <c r="BJ83" t="s">
        <v>147</v>
      </c>
      <c r="BK83" t="s">
        <v>670</v>
      </c>
    </row>
    <row r="84" spans="61:63" x14ac:dyDescent="0.3">
      <c r="BI84" t="s">
        <v>460</v>
      </c>
      <c r="BJ84" t="s">
        <v>463</v>
      </c>
      <c r="BK84" t="s">
        <v>577</v>
      </c>
    </row>
    <row r="85" spans="61:63" x14ac:dyDescent="0.3">
      <c r="BI85" t="s">
        <v>148</v>
      </c>
      <c r="BJ85" t="s">
        <v>150</v>
      </c>
      <c r="BK85" t="s">
        <v>700</v>
      </c>
    </row>
    <row r="86" spans="61:63" x14ac:dyDescent="0.3">
      <c r="BI86" t="s">
        <v>428</v>
      </c>
      <c r="BJ86" t="s">
        <v>430</v>
      </c>
      <c r="BK86" t="s">
        <v>635</v>
      </c>
    </row>
    <row r="87" spans="61:63" x14ac:dyDescent="0.3">
      <c r="BI87" t="s">
        <v>431</v>
      </c>
      <c r="BJ87" t="s">
        <v>433</v>
      </c>
      <c r="BK87" t="s">
        <v>699</v>
      </c>
    </row>
    <row r="88" spans="61:63" x14ac:dyDescent="0.3">
      <c r="BI88" t="s">
        <v>513</v>
      </c>
      <c r="BJ88" t="s">
        <v>514</v>
      </c>
      <c r="BK88" t="s">
        <v>585</v>
      </c>
    </row>
    <row r="89" spans="61:63" x14ac:dyDescent="0.3">
      <c r="BI89" t="s">
        <v>151</v>
      </c>
      <c r="BJ89" t="s">
        <v>153</v>
      </c>
      <c r="BK89" t="s">
        <v>707</v>
      </c>
    </row>
    <row r="90" spans="61:63" x14ac:dyDescent="0.3">
      <c r="BI90" t="s">
        <v>515</v>
      </c>
      <c r="BJ90" t="s">
        <v>518</v>
      </c>
      <c r="BK90" t="s">
        <v>668</v>
      </c>
    </row>
    <row r="91" spans="61:63" x14ac:dyDescent="0.3">
      <c r="BI91" t="s">
        <v>354</v>
      </c>
      <c r="BJ91" t="s">
        <v>356</v>
      </c>
      <c r="BK91" t="s">
        <v>632</v>
      </c>
    </row>
    <row r="92" spans="61:63" x14ac:dyDescent="0.3">
      <c r="BI92" t="s">
        <v>154</v>
      </c>
      <c r="BJ92" t="s">
        <v>156</v>
      </c>
      <c r="BK92" t="s">
        <v>616</v>
      </c>
    </row>
    <row r="93" spans="61:63" x14ac:dyDescent="0.3">
      <c r="BI93" t="s">
        <v>434</v>
      </c>
      <c r="BJ93" t="s">
        <v>437</v>
      </c>
      <c r="BK93" t="s">
        <v>633</v>
      </c>
    </row>
    <row r="94" spans="61:63" x14ac:dyDescent="0.3">
      <c r="BI94" t="s">
        <v>157</v>
      </c>
      <c r="BJ94" t="s">
        <v>159</v>
      </c>
      <c r="BK94" t="s">
        <v>634</v>
      </c>
    </row>
    <row r="95" spans="61:63" x14ac:dyDescent="0.3">
      <c r="BI95" t="s">
        <v>263</v>
      </c>
      <c r="BJ95" t="s">
        <v>265</v>
      </c>
      <c r="BK95" t="s">
        <v>693</v>
      </c>
    </row>
    <row r="96" spans="61:63" x14ac:dyDescent="0.3">
      <c r="BI96" t="s">
        <v>438</v>
      </c>
      <c r="BJ96" t="s">
        <v>440</v>
      </c>
      <c r="BK96" t="s">
        <v>582</v>
      </c>
    </row>
    <row r="97" spans="61:63" x14ac:dyDescent="0.3">
      <c r="BI97" t="s">
        <v>441</v>
      </c>
      <c r="BJ97" t="s">
        <v>443</v>
      </c>
      <c r="BK97" t="s">
        <v>678</v>
      </c>
    </row>
    <row r="98" spans="61:63" x14ac:dyDescent="0.3">
      <c r="BI98" t="s">
        <v>297</v>
      </c>
      <c r="BJ98" t="s">
        <v>299</v>
      </c>
      <c r="BK98" t="s">
        <v>720</v>
      </c>
    </row>
    <row r="99" spans="61:63" x14ac:dyDescent="0.3">
      <c r="BI99" t="s">
        <v>160</v>
      </c>
      <c r="BJ99" t="s">
        <v>162</v>
      </c>
      <c r="BK99" t="s">
        <v>630</v>
      </c>
    </row>
    <row r="100" spans="61:63" x14ac:dyDescent="0.3">
      <c r="BI100" t="s">
        <v>464</v>
      </c>
      <c r="BJ100" t="s">
        <v>467</v>
      </c>
      <c r="BK100" t="s">
        <v>648</v>
      </c>
    </row>
    <row r="101" spans="61:63" x14ac:dyDescent="0.3">
      <c r="BI101" t="s">
        <v>266</v>
      </c>
      <c r="BJ101" t="s">
        <v>267</v>
      </c>
      <c r="BK101" t="s">
        <v>661</v>
      </c>
    </row>
    <row r="102" spans="61:63" x14ac:dyDescent="0.3">
      <c r="BI102" t="s">
        <v>163</v>
      </c>
      <c r="BJ102" t="s">
        <v>165</v>
      </c>
      <c r="BK102" t="s">
        <v>692</v>
      </c>
    </row>
    <row r="103" spans="61:63" x14ac:dyDescent="0.3">
      <c r="BI103" t="s">
        <v>166</v>
      </c>
      <c r="BJ103" t="s">
        <v>168</v>
      </c>
      <c r="BK103" t="s">
        <v>718</v>
      </c>
    </row>
    <row r="104" spans="61:63" x14ac:dyDescent="0.3">
      <c r="BI104" t="s">
        <v>444</v>
      </c>
      <c r="BJ104" t="s">
        <v>445</v>
      </c>
      <c r="BK104" t="s">
        <v>722</v>
      </c>
    </row>
    <row r="105" spans="61:63" x14ac:dyDescent="0.3">
      <c r="BI105" t="s">
        <v>169</v>
      </c>
      <c r="BJ105" t="s">
        <v>171</v>
      </c>
      <c r="BK105" t="s">
        <v>611</v>
      </c>
    </row>
    <row r="106" spans="61:63" x14ac:dyDescent="0.3">
      <c r="BI106" t="s">
        <v>172</v>
      </c>
      <c r="BJ106" t="s">
        <v>173</v>
      </c>
      <c r="BK106" t="s">
        <v>723</v>
      </c>
    </row>
    <row r="107" spans="61:63" x14ac:dyDescent="0.3">
      <c r="BI107" t="s">
        <v>468</v>
      </c>
      <c r="BJ107" t="s">
        <v>471</v>
      </c>
      <c r="BK107" t="s">
        <v>626</v>
      </c>
    </row>
    <row r="108" spans="61:63" x14ac:dyDescent="0.3">
      <c r="BI108" t="s">
        <v>174</v>
      </c>
      <c r="BJ108" t="s">
        <v>176</v>
      </c>
      <c r="BK108" t="s">
        <v>650</v>
      </c>
    </row>
    <row r="109" spans="61:63" x14ac:dyDescent="0.3">
      <c r="BI109" t="s">
        <v>177</v>
      </c>
      <c r="BJ109" t="s">
        <v>179</v>
      </c>
      <c r="BK109" t="s">
        <v>645</v>
      </c>
    </row>
    <row r="110" spans="61:63" x14ac:dyDescent="0.3">
      <c r="BI110" t="s">
        <v>472</v>
      </c>
      <c r="BJ110" t="s">
        <v>474</v>
      </c>
      <c r="BK110" t="s">
        <v>644</v>
      </c>
    </row>
    <row r="111" spans="61:63" x14ac:dyDescent="0.3">
      <c r="BI111" t="s">
        <v>180</v>
      </c>
      <c r="BJ111" t="s">
        <v>182</v>
      </c>
      <c r="BK111" t="s">
        <v>624</v>
      </c>
    </row>
    <row r="112" spans="61:63" x14ac:dyDescent="0.3">
      <c r="BI112" t="s">
        <v>481</v>
      </c>
      <c r="BJ112" t="s">
        <v>484</v>
      </c>
      <c r="BK112" t="s">
        <v>717</v>
      </c>
    </row>
    <row r="113" spans="61:63" x14ac:dyDescent="0.3">
      <c r="BI113" t="s">
        <v>183</v>
      </c>
      <c r="BJ113" t="s">
        <v>185</v>
      </c>
      <c r="BK113" t="s">
        <v>709</v>
      </c>
    </row>
    <row r="114" spans="61:63" x14ac:dyDescent="0.3">
      <c r="BI114" t="s">
        <v>401</v>
      </c>
      <c r="BJ114" t="s">
        <v>404</v>
      </c>
      <c r="BK114" t="s">
        <v>697</v>
      </c>
    </row>
    <row r="115" spans="61:63" x14ac:dyDescent="0.3">
      <c r="BI115" t="s">
        <v>446</v>
      </c>
      <c r="BJ115" t="s">
        <v>449</v>
      </c>
      <c r="BK115" t="s">
        <v>677</v>
      </c>
    </row>
    <row r="116" spans="61:63" x14ac:dyDescent="0.3">
      <c r="BI116" t="s">
        <v>450</v>
      </c>
      <c r="BJ116" t="s">
        <v>452</v>
      </c>
      <c r="BK116" t="s">
        <v>710</v>
      </c>
    </row>
    <row r="117" spans="61:63" x14ac:dyDescent="0.3">
      <c r="BI117" t="s">
        <v>186</v>
      </c>
      <c r="BJ117" t="s">
        <v>188</v>
      </c>
      <c r="BK117" t="s">
        <v>603</v>
      </c>
    </row>
    <row r="118" spans="61:63" x14ac:dyDescent="0.3">
      <c r="BI118" t="s">
        <v>357</v>
      </c>
      <c r="BJ118" t="s">
        <v>359</v>
      </c>
      <c r="BK118" t="s">
        <v>684</v>
      </c>
    </row>
    <row r="119" spans="61:63" x14ac:dyDescent="0.3">
      <c r="BI119" t="s">
        <v>300</v>
      </c>
      <c r="BJ119" t="s">
        <v>303</v>
      </c>
      <c r="BK119" t="s">
        <v>642</v>
      </c>
    </row>
    <row r="120" spans="61:63" x14ac:dyDescent="0.3">
      <c r="BI120" t="s">
        <v>485</v>
      </c>
      <c r="BJ120" t="s">
        <v>488</v>
      </c>
      <c r="BK120" t="s">
        <v>622</v>
      </c>
    </row>
    <row r="121" spans="61:63" x14ac:dyDescent="0.3">
      <c r="BI121" t="s">
        <v>475</v>
      </c>
      <c r="BJ121" t="s">
        <v>477</v>
      </c>
      <c r="BK121" t="s">
        <v>625</v>
      </c>
    </row>
    <row r="122" spans="61:63" x14ac:dyDescent="0.3">
      <c r="BI122" t="s">
        <v>189</v>
      </c>
      <c r="BJ122" t="s">
        <v>191</v>
      </c>
      <c r="BK122" t="s">
        <v>615</v>
      </c>
    </row>
    <row r="123" spans="61:63" x14ac:dyDescent="0.3">
      <c r="BI123" t="s">
        <v>393</v>
      </c>
      <c r="BJ123" t="s">
        <v>396</v>
      </c>
      <c r="BK123" t="s">
        <v>599</v>
      </c>
    </row>
    <row r="124" spans="61:63" x14ac:dyDescent="0.3">
      <c r="BI124" t="s">
        <v>489</v>
      </c>
      <c r="BJ124" t="s">
        <v>492</v>
      </c>
      <c r="BK124" t="s">
        <v>607</v>
      </c>
    </row>
    <row r="125" spans="61:63" x14ac:dyDescent="0.3">
      <c r="BI125" t="s">
        <v>192</v>
      </c>
      <c r="BJ125" t="s">
        <v>194</v>
      </c>
      <c r="BK125" t="s">
        <v>685</v>
      </c>
    </row>
    <row r="126" spans="61:63" x14ac:dyDescent="0.3">
      <c r="BI126" t="s">
        <v>304</v>
      </c>
      <c r="BJ126" t="s">
        <v>306</v>
      </c>
      <c r="BK126" t="s">
        <v>595</v>
      </c>
    </row>
    <row r="127" spans="61:63" x14ac:dyDescent="0.3">
      <c r="BI127" t="s">
        <v>519</v>
      </c>
      <c r="BJ127" t="s">
        <v>521</v>
      </c>
      <c r="BK127" t="s">
        <v>658</v>
      </c>
    </row>
    <row r="128" spans="61:63" x14ac:dyDescent="0.3">
      <c r="BI128" t="s">
        <v>195</v>
      </c>
      <c r="BJ128" t="s">
        <v>197</v>
      </c>
      <c r="BK128" t="s">
        <v>721</v>
      </c>
    </row>
    <row r="129" spans="61:63" x14ac:dyDescent="0.3">
      <c r="BI129" t="s">
        <v>307</v>
      </c>
      <c r="BJ129" t="s">
        <v>309</v>
      </c>
      <c r="BK129" t="s">
        <v>690</v>
      </c>
    </row>
    <row r="130" spans="61:63" x14ac:dyDescent="0.3">
      <c r="BI130" t="s">
        <v>198</v>
      </c>
      <c r="BJ130" t="s">
        <v>200</v>
      </c>
      <c r="BK130" t="s">
        <v>653</v>
      </c>
    </row>
    <row r="131" spans="61:63" x14ac:dyDescent="0.3">
      <c r="BI131" t="s">
        <v>478</v>
      </c>
      <c r="BJ131" t="s">
        <v>480</v>
      </c>
      <c r="BK131" t="s">
        <v>593</v>
      </c>
    </row>
    <row r="132" spans="61:63" x14ac:dyDescent="0.3">
      <c r="BI132" t="s">
        <v>360</v>
      </c>
      <c r="BJ132" t="s">
        <v>363</v>
      </c>
      <c r="BK132" t="s">
        <v>596</v>
      </c>
    </row>
    <row r="133" spans="61:63" x14ac:dyDescent="0.3">
      <c r="BI133" t="s">
        <v>201</v>
      </c>
      <c r="BJ133" t="s">
        <v>203</v>
      </c>
      <c r="BK133" t="s">
        <v>643</v>
      </c>
    </row>
    <row r="134" spans="61:63" x14ac:dyDescent="0.3">
      <c r="BI134" t="s">
        <v>493</v>
      </c>
      <c r="BJ134" t="s">
        <v>496</v>
      </c>
      <c r="BK134" t="s">
        <v>681</v>
      </c>
    </row>
    <row r="135" spans="61:63" x14ac:dyDescent="0.3">
      <c r="BI135" t="s">
        <v>204</v>
      </c>
      <c r="BJ135" t="s">
        <v>206</v>
      </c>
      <c r="BK135" t="s">
        <v>706</v>
      </c>
    </row>
    <row r="136" spans="61:63" x14ac:dyDescent="0.3">
      <c r="BI136" t="s">
        <v>207</v>
      </c>
      <c r="BJ136" t="s">
        <v>209</v>
      </c>
      <c r="BK136" t="s">
        <v>618</v>
      </c>
    </row>
    <row r="137" spans="61:63" x14ac:dyDescent="0.3">
      <c r="BI137" t="s">
        <v>497</v>
      </c>
      <c r="BJ137" t="s">
        <v>500</v>
      </c>
      <c r="BK137" t="s">
        <v>610</v>
      </c>
    </row>
    <row r="138" spans="61:63" x14ac:dyDescent="0.3">
      <c r="BI138" t="s">
        <v>522</v>
      </c>
      <c r="BJ138" t="s">
        <v>524</v>
      </c>
      <c r="BK138" t="s">
        <v>679</v>
      </c>
    </row>
    <row r="139" spans="61:63" x14ac:dyDescent="0.3">
      <c r="BI139" t="s">
        <v>210</v>
      </c>
      <c r="BJ139" t="s">
        <v>212</v>
      </c>
      <c r="BK139" t="s">
        <v>594</v>
      </c>
    </row>
    <row r="140" spans="61:63" x14ac:dyDescent="0.3">
      <c r="BI140" t="s">
        <v>501</v>
      </c>
      <c r="BJ140" t="s">
        <v>504</v>
      </c>
      <c r="BK140" t="s">
        <v>629</v>
      </c>
    </row>
    <row r="141" spans="61:63" x14ac:dyDescent="0.3">
      <c r="BI141" t="s">
        <v>213</v>
      </c>
      <c r="BJ141" t="s">
        <v>215</v>
      </c>
      <c r="BK141" t="s">
        <v>689</v>
      </c>
    </row>
    <row r="142" spans="61:63" x14ac:dyDescent="0.3">
      <c r="BI142" t="s">
        <v>216</v>
      </c>
      <c r="BJ142" t="s">
        <v>218</v>
      </c>
      <c r="BK142" t="s">
        <v>687</v>
      </c>
    </row>
    <row r="143" spans="61:63" x14ac:dyDescent="0.3">
      <c r="BI143" t="s">
        <v>219</v>
      </c>
      <c r="BJ143" t="s">
        <v>221</v>
      </c>
      <c r="BK143" t="s">
        <v>704</v>
      </c>
    </row>
    <row r="144" spans="61:63" x14ac:dyDescent="0.3">
      <c r="BI144" t="s">
        <v>310</v>
      </c>
      <c r="BJ144" t="s">
        <v>311</v>
      </c>
      <c r="BK144" t="s">
        <v>688</v>
      </c>
    </row>
    <row r="145" spans="61:63" x14ac:dyDescent="0.3">
      <c r="BI145" t="s">
        <v>312</v>
      </c>
      <c r="BJ145" t="s">
        <v>314</v>
      </c>
      <c r="BK145" t="s">
        <v>631</v>
      </c>
    </row>
    <row r="146" spans="61:63" x14ac:dyDescent="0.3">
      <c r="BI146" t="s">
        <v>222</v>
      </c>
      <c r="BJ146" t="s">
        <v>224</v>
      </c>
      <c r="BK146" t="s">
        <v>694</v>
      </c>
    </row>
    <row r="147" spans="61:63" x14ac:dyDescent="0.3">
      <c r="BI147" t="s">
        <v>225</v>
      </c>
      <c r="BJ147" t="s">
        <v>227</v>
      </c>
      <c r="BK147" t="s">
        <v>712</v>
      </c>
    </row>
    <row r="148" spans="61:63" x14ac:dyDescent="0.3">
      <c r="BI148" t="s">
        <v>364</v>
      </c>
      <c r="BJ148" t="s">
        <v>367</v>
      </c>
      <c r="BK148" t="s">
        <v>713</v>
      </c>
    </row>
    <row r="149" spans="61:63" x14ac:dyDescent="0.3">
      <c r="BI149" t="s">
        <v>453</v>
      </c>
      <c r="BJ149" t="s">
        <v>456</v>
      </c>
      <c r="BK149" t="s">
        <v>636</v>
      </c>
    </row>
    <row r="150" spans="61:63" x14ac:dyDescent="0.3">
      <c r="BI150" t="s">
        <v>228</v>
      </c>
      <c r="BJ150" t="s">
        <v>230</v>
      </c>
      <c r="BK150" t="s">
        <v>608</v>
      </c>
    </row>
    <row r="151" spans="61:63" x14ac:dyDescent="0.3">
      <c r="BI151" t="s">
        <v>231</v>
      </c>
      <c r="BJ151" t="s">
        <v>233</v>
      </c>
      <c r="BK151" t="s">
        <v>612</v>
      </c>
    </row>
    <row r="152" spans="61:63" x14ac:dyDescent="0.3">
      <c r="BI152" t="s">
        <v>234</v>
      </c>
      <c r="BJ152" t="s">
        <v>237</v>
      </c>
      <c r="BK152" t="s">
        <v>646</v>
      </c>
    </row>
    <row r="153" spans="61:63" x14ac:dyDescent="0.3">
      <c r="BI153" t="s">
        <v>525</v>
      </c>
      <c r="BJ153" t="s">
        <v>527</v>
      </c>
      <c r="BK153" t="s">
        <v>716</v>
      </c>
    </row>
    <row r="154" spans="61:63" x14ac:dyDescent="0.3">
      <c r="BI154" t="s">
        <v>238</v>
      </c>
      <c r="BJ154" t="s">
        <v>240</v>
      </c>
      <c r="BK154" t="s">
        <v>589</v>
      </c>
    </row>
    <row r="155" spans="61:63" x14ac:dyDescent="0.3">
      <c r="BI155" t="s">
        <v>505</v>
      </c>
      <c r="BJ155" t="s">
        <v>508</v>
      </c>
      <c r="BK155" t="s">
        <v>680</v>
      </c>
    </row>
  </sheetData>
  <mergeCells count="2">
    <mergeCell ref="F33:H33"/>
    <mergeCell ref="F34:H34"/>
  </mergeCells>
  <conditionalFormatting sqref="B5:B44">
    <cfRule type="expression" dxfId="106" priority="1">
      <formula>AND(ISNUMBER($B5),$B5&gt;0,$B5&lt;15)</formula>
    </cfRule>
    <cfRule type="expression" dxfId="105" priority="2">
      <formula>AND(ISNUMBER($B5),$B5&gt;=15,$B5&lt;30)</formula>
    </cfRule>
    <cfRule type="expression" dxfId="104" priority="3">
      <formula>AND(ISNUMBER($B5),$B5&gt;=30,$B5&lt;60)</formula>
    </cfRule>
    <cfRule type="expression" dxfId="103" priority="4">
      <formula>AND(ISNUMBER($B5),$B5&gt;=60,$B5&lt;85)</formula>
    </cfRule>
    <cfRule type="expression" dxfId="102" priority="5">
      <formula>AND(ISNUMBER($B5),$B5&gt;=85)</formula>
    </cfRule>
  </conditionalFormatting>
  <conditionalFormatting sqref="C5:C44">
    <cfRule type="expression" dxfId="101" priority="6">
      <formula>AND(ISNUMBER($C5),$C5=0)</formula>
    </cfRule>
    <cfRule type="expression" dxfId="100" priority="7">
      <formula>AND(ISNUMBER($C5),$C5&gt;0,$C5&lt;0.1)</formula>
    </cfRule>
    <cfRule type="expression" dxfId="99" priority="8">
      <formula>AND(ISNUMBER($C5),$C5&gt;=0.1)</formula>
    </cfRule>
  </conditionalFormatting>
  <conditionalFormatting sqref="G5">
    <cfRule type="expression" dxfId="98" priority="9">
      <formula>AND(ISNUMBER($G$5),$G$5&gt;0,$G$5&lt;15)</formula>
    </cfRule>
    <cfRule type="expression" dxfId="97" priority="10">
      <formula>AND(ISNUMBER($G$5),$G$5&gt;=15,$G$5&lt;30)</formula>
    </cfRule>
    <cfRule type="expression" dxfId="96" priority="11">
      <formula>AND(ISNUMBER($G$5),$G$5&gt;=30,$G$5&lt;60)</formula>
    </cfRule>
    <cfRule type="expression" dxfId="95" priority="12">
      <formula>AND(ISNUMBER($G$5),$G$5&gt;=60,$G$5&lt;85)</formula>
    </cfRule>
    <cfRule type="expression" dxfId="94" priority="13">
      <formula>AND(ISNUMBER($G$5),$G$5&gt;=85)</formula>
    </cfRule>
  </conditionalFormatting>
  <conditionalFormatting sqref="B47">
    <cfRule type="expression" dxfId="93" priority="14">
      <formula>AND(ISNUMBER($B47),$B47&gt;=0.15)</formula>
    </cfRule>
    <cfRule type="expression" dxfId="92" priority="15">
      <formula>AND(ISNUMBER($B47),$B47&gt;=0.1,$B47&lt;0.15)</formula>
    </cfRule>
    <cfRule type="expression" dxfId="91" priority="16">
      <formula>AND(ISNUMBER($B47),$B47&gt;=0.05,$B47&lt;0.1)</formula>
    </cfRule>
    <cfRule type="expression" dxfId="90" priority="17">
      <formula>AND(ISNUMBER($B47),$B47&gt;=0,$B47&lt;0.05)</formula>
    </cfRule>
    <cfRule type="expression" dxfId="89" priority="18">
      <formula>AND(ISNUMBER($B47),$B47&lt;0,$B47&gt;=-0.05)</formula>
    </cfRule>
    <cfRule type="expression" dxfId="88" priority="19">
      <formula>AND(ISNUMBER($B47),$B47&lt;-0.05)</formula>
    </cfRule>
  </conditionalFormatting>
  <conditionalFormatting sqref="B48">
    <cfRule type="expression" dxfId="87" priority="20">
      <formula>AND(ISNUMBER($B48),$B48&gt;=0.15)</formula>
    </cfRule>
    <cfRule type="expression" dxfId="86" priority="21">
      <formula>AND(ISNUMBER($B48),$B48&gt;=0.1,$B48&lt;0.15)</formula>
    </cfRule>
    <cfRule type="expression" dxfId="85" priority="22">
      <formula>AND(ISNUMBER($B48),$B48&gt;=0.05,$B48&lt;0.1)</formula>
    </cfRule>
    <cfRule type="expression" dxfId="84" priority="23">
      <formula>AND(ISNUMBER($B48),$B48&gt;=0,$B48&lt;0.05)</formula>
    </cfRule>
    <cfRule type="expression" dxfId="83" priority="24">
      <formula>AND(ISNUMBER($B48),$B48&lt;0,$B48&gt;=-0.05)</formula>
    </cfRule>
    <cfRule type="expression" dxfId="82" priority="25">
      <formula>AND(ISNUMBER($B48),$B48&lt;-0.05)</formula>
    </cfRule>
  </conditionalFormatting>
  <conditionalFormatting sqref="B49">
    <cfRule type="expression" dxfId="81" priority="26">
      <formula>AND(ISNUMBER($B49),$B49&gt;=0.15)</formula>
    </cfRule>
    <cfRule type="expression" dxfId="80" priority="27">
      <formula>AND(ISNUMBER($B49),$B49&gt;=0.1,$B49&lt;0.15)</formula>
    </cfRule>
    <cfRule type="expression" dxfId="79" priority="28">
      <formula>AND(ISNUMBER($B49),$B49&gt;=0.05,$B49&lt;0.1)</formula>
    </cfRule>
    <cfRule type="expression" dxfId="78" priority="29">
      <formula>AND(ISNUMBER($B49),$B49&gt;=0,$B49&lt;0.05)</formula>
    </cfRule>
    <cfRule type="expression" dxfId="77" priority="30">
      <formula>AND(ISNUMBER($B49),$B49&lt;0,$B49&gt;=-0.05)</formula>
    </cfRule>
    <cfRule type="expression" dxfId="76" priority="31">
      <formula>AND(ISNUMBER($B49),$B49&lt;-0.05)</formula>
    </cfRule>
  </conditionalFormatting>
  <conditionalFormatting sqref="B50">
    <cfRule type="expression" dxfId="75" priority="32">
      <formula>AND(ISNUMBER($B50),$B50&gt;=0.15)</formula>
    </cfRule>
    <cfRule type="expression" dxfId="74" priority="33">
      <formula>AND(ISNUMBER($B50),$B50&gt;=0.1,$B50&lt;0.15)</formula>
    </cfRule>
    <cfRule type="expression" dxfId="73" priority="34">
      <formula>AND(ISNUMBER($B50),$B50&gt;=0.05,$B50&lt;0.1)</formula>
    </cfRule>
    <cfRule type="expression" dxfId="72" priority="35">
      <formula>AND(ISNUMBER($B50),$B50&gt;=0,$B50&lt;0.05)</formula>
    </cfRule>
    <cfRule type="expression" dxfId="71" priority="36">
      <formula>AND(ISNUMBER($B50),$B50&lt;0,$B50&gt;=-0.05)</formula>
    </cfRule>
    <cfRule type="expression" dxfId="70" priority="37">
      <formula>AND(ISNUMBER($B50),$B50&lt;-0.05)</formula>
    </cfRule>
  </conditionalFormatting>
  <conditionalFormatting sqref="B51">
    <cfRule type="expression" dxfId="69" priority="38">
      <formula>AND(ISNUMBER($B51),$B51&gt;0,$B51&lt;15)</formula>
    </cfRule>
    <cfRule type="expression" dxfId="68" priority="39">
      <formula>AND(ISNUMBER($B51),$B51&gt;=15,$B51&lt;30)</formula>
    </cfRule>
    <cfRule type="expression" dxfId="67" priority="40">
      <formula>AND(ISNUMBER($B51),$B51&gt;=30,$B51&lt;60)</formula>
    </cfRule>
    <cfRule type="expression" dxfId="66" priority="41">
      <formula>AND(ISNUMBER($B51),$B51&gt;=60,$B51&lt;85)</formula>
    </cfRule>
    <cfRule type="expression" dxfId="65" priority="42">
      <formula>AND(ISNUMBER($B51),$B51&gt;=85)</formula>
    </cfRule>
  </conditionalFormatting>
  <conditionalFormatting sqref="B52">
    <cfRule type="expression" dxfId="64" priority="43">
      <formula>AND(ISNUMBER($B52),$B52&gt;0,$B52&lt;8)</formula>
    </cfRule>
    <cfRule type="expression" dxfId="63" priority="44">
      <formula>AND(ISNUMBER($B52),$B52&gt;=8,$B52&lt;12)</formula>
    </cfRule>
    <cfRule type="expression" dxfId="62" priority="45">
      <formula>AND(ISNUMBER($B52),$B52&gt;=12,$B52&lt;16)</formula>
    </cfRule>
    <cfRule type="expression" dxfId="61" priority="46">
      <formula>AND(ISNUMBER($B52),$B52&gt;=16,$B52&lt;=20)</formula>
    </cfRule>
    <cfRule type="expression" dxfId="60" priority="47">
      <formula>AND(ISNUMBER($B52),$B52&gt;20)</formula>
    </cfRule>
  </conditionalFormatting>
  <conditionalFormatting sqref="B53">
    <cfRule type="expression" dxfId="59" priority="48">
      <formula>AND(ISNUMBER($B53),$B53&lt;0)</formula>
    </cfRule>
    <cfRule type="expression" dxfId="58" priority="49">
      <formula>AND(ISNUMBER($B53),$B53&gt;0,$B53&lt;0.5)</formula>
    </cfRule>
    <cfRule type="expression" dxfId="57" priority="50">
      <formula>AND(ISNUMBER($B53),$B53&gt;=0.5,$B53&lt;1)</formula>
    </cfRule>
    <cfRule type="expression" dxfId="56" priority="51">
      <formula>AND(ISNUMBER($B53),$B53&gt;=1,$B53&lt;=2)</formula>
    </cfRule>
    <cfRule type="expression" dxfId="55" priority="52">
      <formula>AND(ISNUMBER($B53),$B53&gt;2)</formula>
    </cfRule>
  </conditionalFormatting>
  <conditionalFormatting sqref="B54">
    <cfRule type="expression" dxfId="54" priority="53">
      <formula>AND(ISNUMBER($B54),$B54&gt;20)</formula>
    </cfRule>
    <cfRule type="expression" dxfId="53" priority="54">
      <formula>AND(ISNUMBER($B54),$B54&gt;=12,$B54&lt;=20)</formula>
    </cfRule>
    <cfRule type="expression" dxfId="52" priority="55">
      <formula>AND(ISNUMBER($B54),$B54&gt;=7,$B54&lt;12)</formula>
    </cfRule>
    <cfRule type="expression" dxfId="51" priority="56">
      <formula>AND(ISNUMBER($B54),$B54&gt;=3,$B54&lt;7)</formula>
    </cfRule>
    <cfRule type="expression" dxfId="50" priority="57">
      <formula>AND(ISNUMBER($B54),$B54&gt;0,$B54&lt;3)</formula>
    </cfRule>
  </conditionalFormatting>
  <conditionalFormatting sqref="B55">
    <cfRule type="expression" dxfId="49" priority="58">
      <formula>AND(ISNUMBER($B55),$B55&lt;1)</formula>
    </cfRule>
    <cfRule type="expression" dxfId="48" priority="59">
      <formula>AND(ISNUMBER($B55),$B55&gt;=1,$B55&lt;=1.5)</formula>
    </cfRule>
    <cfRule type="expression" dxfId="47" priority="60">
      <formula>AND(ISNUMBER($B55),$B55&gt;1.5,$B55&lt;=2)</formula>
    </cfRule>
    <cfRule type="expression" dxfId="46" priority="61">
      <formula>AND(ISNUMBER($B55),$B55&gt;2)</formula>
    </cfRule>
  </conditionalFormatting>
  <conditionalFormatting sqref="B56">
    <cfRule type="expression" dxfId="45" priority="62">
      <formula>AND(ISNUMBER($B56),$B56&gt;5)</formula>
    </cfRule>
    <cfRule type="expression" dxfId="44" priority="63">
      <formula>AND(ISNUMBER($B56),$B56&gt;=2,$B56&lt;=5)</formula>
    </cfRule>
    <cfRule type="expression" dxfId="43" priority="64">
      <formula>AND(ISNUMBER($B56),$B56&gt;0,$B56&lt;2)</formula>
    </cfRule>
    <cfRule type="expression" dxfId="42" priority="65">
      <formula>AND(ISNUMBER($B56),$B56&lt;0,$B56&gt;=-3)</formula>
    </cfRule>
    <cfRule type="expression" dxfId="41" priority="66">
      <formula>AND(ISNUMBER($B56),$B56&lt;-3)</formula>
    </cfRule>
  </conditionalFormatting>
  <conditionalFormatting sqref="B58">
    <cfRule type="expression" dxfId="40" priority="67">
      <formula>AND(ISNUMBER($B58),$B58&gt;=100)</formula>
    </cfRule>
    <cfRule type="expression" dxfId="39" priority="68">
      <formula>AND(ISNUMBER($B58),$B58&lt;100)</formula>
    </cfRule>
  </conditionalFormatting>
  <conditionalFormatting sqref="B58">
    <cfRule type="expression" dxfId="38" priority="69">
      <formula>AND(ISNUMBER($B58),$B58&lt;90)</formula>
    </cfRule>
  </conditionalFormatting>
  <conditionalFormatting sqref="B59">
    <cfRule type="expression" dxfId="37" priority="70">
      <formula>AND(ISNUMBER($B59),$B59&lt;=100)</formula>
    </cfRule>
    <cfRule type="expression" dxfId="36" priority="71">
      <formula>AND(ISNUMBER($B59),$B59&gt;100)</formula>
    </cfRule>
  </conditionalFormatting>
  <conditionalFormatting sqref="B60">
    <cfRule type="expression" dxfId="35" priority="72">
      <formula>AND(ISNUMBER($B60),ISNUMBER($B61),$B60&gt;$B61)</formula>
    </cfRule>
    <cfRule type="expression" dxfId="34" priority="73">
      <formula>AND(ISNUMBER($B60),ISNUMBER($B61),$B60&lt;$B61)</formula>
    </cfRule>
  </conditionalFormatting>
  <conditionalFormatting sqref="B62">
    <cfRule type="expression" dxfId="33" priority="74">
      <formula>AND(ISNUMBER($B62),OR($B62&lt;0.3,$B62&gt;0.8))</formula>
    </cfRule>
  </conditionalFormatting>
  <conditionalFormatting sqref="B64">
    <cfRule type="expression" dxfId="32" priority="75">
      <formula>AND(ISNUMBER($B64),ROUND($B64,0)=5)</formula>
    </cfRule>
    <cfRule type="expression" dxfId="31" priority="76">
      <formula>AND(ISNUMBER($B64),ROUND($B64,0)=4)</formula>
    </cfRule>
    <cfRule type="expression" dxfId="30" priority="77">
      <formula>AND(ISNUMBER($B64),ROUND($B64,0)=3)</formula>
    </cfRule>
    <cfRule type="expression" dxfId="29" priority="78">
      <formula>AND(ISNUMBER($B64),ROUND($B64,0)=2)</formula>
    </cfRule>
    <cfRule type="expression" dxfId="28" priority="79">
      <formula>AND(ISNUMBER($B64),ROUND($B64,0)=1)</formula>
    </cfRule>
  </conditionalFormatting>
  <conditionalFormatting sqref="B65">
    <cfRule type="expression" dxfId="27" priority="80">
      <formula>AND(ISNUMBER($B65),OR($B65&lt;0.3,$B65&gt;0.7))</formula>
    </cfRule>
    <cfRule type="expression" dxfId="26" priority="81">
      <formula>AND(ISNUMBER($B65),NOT(OR($B65&lt;0.3,$B65&gt;0.7)))</formula>
    </cfRule>
  </conditionalFormatting>
  <conditionalFormatting sqref="B66">
    <cfRule type="expression" dxfId="25" priority="82">
      <formula>AND(ISNUMBER($B66),OR($B66&lt;0.15,$B66&gt;0.45))</formula>
    </cfRule>
    <cfRule type="expression" dxfId="24" priority="83">
      <formula>AND(ISNUMBER($B66),NOT(OR($B66&lt;0.15,$B66&gt;0.45)))</formula>
    </cfRule>
  </conditionalFormatting>
  <conditionalFormatting sqref="B67">
    <cfRule type="expression" dxfId="23" priority="84">
      <formula>AND(ISNUMBER($B67))</formula>
    </cfRule>
  </conditionalFormatting>
  <conditionalFormatting sqref="B68">
    <cfRule type="expression" dxfId="22" priority="85">
      <formula>AND(ISNUMBER($B68),OR($B68&lt;0.1,$B68&gt;0.25))</formula>
    </cfRule>
  </conditionalFormatting>
  <conditionalFormatting sqref="B69">
    <cfRule type="expression" dxfId="21" priority="86">
      <formula>AND(ISNUMBER($B69),$B69&gt;=0.2)</formula>
    </cfRule>
    <cfRule type="expression" dxfId="20" priority="87">
      <formula>AND(ISNUMBER($B69),$B69&gt;0,$B69&lt;0.2)</formula>
    </cfRule>
  </conditionalFormatting>
  <conditionalFormatting sqref="B70">
    <cfRule type="expression" dxfId="19" priority="88">
      <formula>AND(ISNUMBER($B70),$B70&gt;=0.2)</formula>
    </cfRule>
    <cfRule type="expression" dxfId="18" priority="89">
      <formula>AND(ISNUMBER($B70),$B70&gt;0,$B70&lt;0.2)</formula>
    </cfRule>
  </conditionalFormatting>
  <conditionalFormatting sqref="B71">
    <cfRule type="expression" dxfId="17" priority="90">
      <formula>AND(ISNUMBER($B71),$B71&gt;=0.2)</formula>
    </cfRule>
    <cfRule type="expression" dxfId="16" priority="91">
      <formula>AND(ISNUMBER($B71),$B71&gt;0,$B71&lt;0.2)</formula>
    </cfRule>
  </conditionalFormatting>
  <conditionalFormatting sqref="B72">
    <cfRule type="expression" dxfId="15" priority="92">
      <formula>AND(ISNUMBER($B72),$B72&gt;=0.2)</formula>
    </cfRule>
    <cfRule type="expression" dxfId="14" priority="93">
      <formula>AND(ISNUMBER($B72),$B72&gt;0,$B72&lt;0.2)</formula>
    </cfRule>
  </conditionalFormatting>
  <conditionalFormatting sqref="B73">
    <cfRule type="expression" dxfId="13" priority="94">
      <formula>AND(ISNUMBER($B73),$B73&gt;=0.2)</formula>
    </cfRule>
    <cfRule type="expression" dxfId="12" priority="95">
      <formula>AND(ISNUMBER($B73),$B73&gt;0,$B73&lt;0.2)</formula>
    </cfRule>
  </conditionalFormatting>
  <conditionalFormatting sqref="B74">
    <cfRule type="expression" dxfId="11" priority="96">
      <formula>AND(ISNUMBER($B74),$B74&gt;=0.2)</formula>
    </cfRule>
    <cfRule type="expression" dxfId="10" priority="97">
      <formula>AND(ISNUMBER($B74),$B74&gt;0,$B74&lt;0.2)</formula>
    </cfRule>
  </conditionalFormatting>
  <conditionalFormatting sqref="B75">
    <cfRule type="expression" dxfId="9" priority="98">
      <formula>AND(ISNUMBER($B75),$B75&gt;=0.2)</formula>
    </cfRule>
    <cfRule type="expression" dxfId="8" priority="99">
      <formula>AND(ISNUMBER($B75),$B75&gt;0,$B75&lt;0.2)</formula>
    </cfRule>
  </conditionalFormatting>
  <conditionalFormatting sqref="B76">
    <cfRule type="expression" dxfId="7" priority="100">
      <formula>AND(ISNUMBER($B76),$B76&gt;=0.2)</formula>
    </cfRule>
    <cfRule type="expression" dxfId="6" priority="101">
      <formula>AND(ISNUMBER($B76),$B76&gt;0,$B76&lt;0.2)</formula>
    </cfRule>
  </conditionalFormatting>
  <conditionalFormatting sqref="B77">
    <cfRule type="expression" dxfId="5" priority="102">
      <formula>AND(ISNUMBER($B77),$B77&gt;=0.2)</formula>
    </cfRule>
    <cfRule type="expression" dxfId="4" priority="103">
      <formula>AND(ISNUMBER($B77),$B77&gt;0,$B77&lt;0.2)</formula>
    </cfRule>
  </conditionalFormatting>
  <conditionalFormatting sqref="B78">
    <cfRule type="expression" dxfId="3" priority="104">
      <formula>AND(ISNUMBER($B78),$B78&gt;=0.2)</formula>
    </cfRule>
    <cfRule type="expression" dxfId="2" priority="105">
      <formula>AND(ISNUMBER($B78),$B78&gt;0,$B78&lt;0.2)</formula>
    </cfRule>
  </conditionalFormatting>
  <conditionalFormatting sqref="B79">
    <cfRule type="expression" dxfId="1" priority="106">
      <formula>AND(ISNUMBER($B79),$B79&gt;=0.2)</formula>
    </cfRule>
    <cfRule type="expression" dxfId="0" priority="107">
      <formula>AND(ISNUMBER($B79),$B79&gt;0,$B79&lt;0.2)</formula>
    </cfRule>
  </conditionalFormatting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9"/>
  <sheetViews>
    <sheetView workbookViewId="0">
      <selection activeCell="A13" sqref="A13:B13"/>
    </sheetView>
  </sheetViews>
  <sheetFormatPr baseColWidth="10" defaultColWidth="8.88671875" defaultRowHeight="13.8" x14ac:dyDescent="0.3"/>
  <cols>
    <col min="1" max="1" width="18" customWidth="1"/>
    <col min="2" max="2" width="70" customWidth="1"/>
  </cols>
  <sheetData>
    <row r="1" spans="1:2" ht="19.95" customHeight="1" x14ac:dyDescent="0.3">
      <c r="A1" s="114" t="s">
        <v>787</v>
      </c>
    </row>
    <row r="2" spans="1:2" ht="22.05" customHeight="1" x14ac:dyDescent="0.3">
      <c r="A2" s="115">
        <v>46102</v>
      </c>
      <c r="B2" s="116" t="s">
        <v>118</v>
      </c>
    </row>
    <row r="3" spans="1:2" ht="36" customHeight="1" x14ac:dyDescent="0.3">
      <c r="A3" s="144" t="s">
        <v>788</v>
      </c>
      <c r="B3" s="140"/>
    </row>
    <row r="4" spans="1:2" ht="22.05" customHeight="1" x14ac:dyDescent="0.3">
      <c r="A4" s="115">
        <v>46115</v>
      </c>
      <c r="B4" s="116" t="s">
        <v>47</v>
      </c>
    </row>
    <row r="5" spans="1:2" ht="36" customHeight="1" x14ac:dyDescent="0.3">
      <c r="A5" s="143" t="s">
        <v>789</v>
      </c>
      <c r="B5" s="140"/>
    </row>
    <row r="6" spans="1:2" ht="22.05" customHeight="1" x14ac:dyDescent="0.3">
      <c r="A6" s="115">
        <v>46163</v>
      </c>
      <c r="B6" s="116" t="s">
        <v>257</v>
      </c>
    </row>
    <row r="7" spans="1:2" ht="36" customHeight="1" x14ac:dyDescent="0.3">
      <c r="A7" s="144" t="s">
        <v>790</v>
      </c>
      <c r="B7" s="140"/>
    </row>
    <row r="8" spans="1:2" ht="22.05" customHeight="1" x14ac:dyDescent="0.3">
      <c r="A8" s="115">
        <v>46215</v>
      </c>
      <c r="B8" s="116" t="s">
        <v>375</v>
      </c>
    </row>
    <row r="9" spans="1:2" ht="36" customHeight="1" x14ac:dyDescent="0.3">
      <c r="A9" s="143" t="s">
        <v>791</v>
      </c>
      <c r="B9" s="140"/>
    </row>
    <row r="10" spans="1:2" ht="22.05" customHeight="1" x14ac:dyDescent="0.3">
      <c r="A10" s="115">
        <v>46266</v>
      </c>
      <c r="B10" s="116" t="s">
        <v>51</v>
      </c>
    </row>
    <row r="11" spans="1:2" ht="36" customHeight="1" x14ac:dyDescent="0.3">
      <c r="A11" s="144" t="s">
        <v>792</v>
      </c>
      <c r="B11" s="140"/>
    </row>
    <row r="12" spans="1:2" ht="22.05" customHeight="1" x14ac:dyDescent="0.3">
      <c r="A12" s="115">
        <v>46285</v>
      </c>
      <c r="B12" s="116" t="s">
        <v>139</v>
      </c>
    </row>
    <row r="13" spans="1:2" ht="36" customHeight="1" x14ac:dyDescent="0.3">
      <c r="A13" s="143" t="s">
        <v>793</v>
      </c>
      <c r="B13" s="140"/>
    </row>
    <row r="15" spans="1:2" ht="19.95" customHeight="1" x14ac:dyDescent="0.3">
      <c r="A15" s="117" t="s">
        <v>794</v>
      </c>
    </row>
    <row r="16" spans="1:2" ht="22.05" customHeight="1" x14ac:dyDescent="0.3">
      <c r="A16" s="118">
        <v>46102</v>
      </c>
      <c r="B16" s="119" t="s">
        <v>519</v>
      </c>
    </row>
    <row r="17" spans="1:2" ht="36" customHeight="1" x14ac:dyDescent="0.3">
      <c r="A17" s="141" t="s">
        <v>795</v>
      </c>
      <c r="B17" s="140"/>
    </row>
    <row r="18" spans="1:2" ht="22.05" customHeight="1" x14ac:dyDescent="0.3">
      <c r="A18" s="118">
        <v>46150</v>
      </c>
      <c r="B18" s="119" t="s">
        <v>97</v>
      </c>
    </row>
    <row r="19" spans="1:2" ht="36" customHeight="1" x14ac:dyDescent="0.3">
      <c r="A19" s="143" t="s">
        <v>796</v>
      </c>
      <c r="B19" s="140"/>
    </row>
    <row r="20" spans="1:2" ht="22.05" customHeight="1" x14ac:dyDescent="0.3">
      <c r="A20" s="118">
        <v>46206</v>
      </c>
      <c r="B20" s="119" t="s">
        <v>797</v>
      </c>
    </row>
    <row r="21" spans="1:2" ht="36" customHeight="1" x14ac:dyDescent="0.3">
      <c r="A21" s="141" t="s">
        <v>798</v>
      </c>
      <c r="B21" s="140"/>
    </row>
    <row r="22" spans="1:2" ht="22.05" customHeight="1" x14ac:dyDescent="0.3">
      <c r="A22" s="118">
        <v>46273</v>
      </c>
      <c r="B22" s="119" t="s">
        <v>384</v>
      </c>
    </row>
    <row r="23" spans="1:2" ht="36" customHeight="1" x14ac:dyDescent="0.3">
      <c r="A23" s="143" t="s">
        <v>799</v>
      </c>
      <c r="B23" s="140"/>
    </row>
    <row r="24" spans="1:2" ht="22.05" customHeight="1" x14ac:dyDescent="0.3">
      <c r="A24" s="118">
        <v>46280</v>
      </c>
      <c r="B24" s="119" t="s">
        <v>513</v>
      </c>
    </row>
    <row r="25" spans="1:2" ht="36" customHeight="1" x14ac:dyDescent="0.3">
      <c r="A25" s="141" t="s">
        <v>800</v>
      </c>
      <c r="B25" s="140"/>
    </row>
    <row r="27" spans="1:2" ht="19.95" customHeight="1" x14ac:dyDescent="0.3">
      <c r="A27" s="120" t="s">
        <v>801</v>
      </c>
    </row>
    <row r="28" spans="1:2" ht="22.05" customHeight="1" x14ac:dyDescent="0.3">
      <c r="A28" s="121">
        <v>46249</v>
      </c>
      <c r="B28" s="122" t="s">
        <v>802</v>
      </c>
    </row>
    <row r="29" spans="1:2" ht="36" customHeight="1" x14ac:dyDescent="0.3">
      <c r="A29" s="142" t="s">
        <v>803</v>
      </c>
      <c r="B29" s="140"/>
    </row>
  </sheetData>
  <mergeCells count="12">
    <mergeCell ref="A3:B3"/>
    <mergeCell ref="A5:B5"/>
    <mergeCell ref="A7:B7"/>
    <mergeCell ref="A9:B9"/>
    <mergeCell ref="A11:B11"/>
    <mergeCell ref="A25:B25"/>
    <mergeCell ref="A29:B29"/>
    <mergeCell ref="A13:B13"/>
    <mergeCell ref="A17:B17"/>
    <mergeCell ref="A19:B19"/>
    <mergeCell ref="A21:B21"/>
    <mergeCell ref="A23:B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A5" sqref="A5:A6"/>
    </sheetView>
  </sheetViews>
  <sheetFormatPr baseColWidth="10" defaultColWidth="8.88671875" defaultRowHeight="13.8" x14ac:dyDescent="0.3"/>
  <cols>
    <col min="1" max="1" width="40" customWidth="1"/>
  </cols>
  <sheetData>
    <row r="1" spans="1:1" ht="48" customHeight="1" x14ac:dyDescent="0.3">
      <c r="A1" s="134" t="s">
        <v>839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38"/>
  <sheetViews>
    <sheetView topLeftCell="A19" workbookViewId="0"/>
  </sheetViews>
  <sheetFormatPr baseColWidth="10" defaultColWidth="8.88671875" defaultRowHeight="13.8" x14ac:dyDescent="0.3"/>
  <cols>
    <col min="1" max="1" width="28" customWidth="1"/>
    <col min="2" max="2" width="120" customWidth="1"/>
    <col min="3" max="3" width="100" customWidth="1"/>
  </cols>
  <sheetData>
    <row r="1" spans="1:2" ht="22.05" customHeight="1" x14ac:dyDescent="0.3">
      <c r="A1" s="25" t="s">
        <v>734</v>
      </c>
    </row>
    <row r="3" spans="1:2" ht="19.95" customHeight="1" x14ac:dyDescent="0.3">
      <c r="A3" s="44" t="s">
        <v>735</v>
      </c>
      <c r="B3" s="45" t="s">
        <v>736</v>
      </c>
    </row>
    <row r="4" spans="1:2" x14ac:dyDescent="0.3">
      <c r="A4" s="46" t="s">
        <v>737</v>
      </c>
      <c r="B4" s="47" t="s">
        <v>738</v>
      </c>
    </row>
    <row r="5" spans="1:2" ht="26.4" x14ac:dyDescent="0.3">
      <c r="A5" s="48" t="s">
        <v>739</v>
      </c>
      <c r="B5" s="49" t="s">
        <v>740</v>
      </c>
    </row>
    <row r="6" spans="1:2" ht="26.4" x14ac:dyDescent="0.3">
      <c r="A6" s="50" t="s">
        <v>741</v>
      </c>
      <c r="B6" s="51" t="s">
        <v>742</v>
      </c>
    </row>
    <row r="7" spans="1:2" x14ac:dyDescent="0.3">
      <c r="A7" s="52" t="s">
        <v>743</v>
      </c>
      <c r="B7" s="53" t="s">
        <v>744</v>
      </c>
    </row>
    <row r="8" spans="1:2" x14ac:dyDescent="0.3">
      <c r="A8" s="54" t="s">
        <v>745</v>
      </c>
      <c r="B8" s="55" t="s">
        <v>746</v>
      </c>
    </row>
    <row r="9" spans="1:2" x14ac:dyDescent="0.3">
      <c r="A9" s="56" t="s">
        <v>747</v>
      </c>
      <c r="B9" s="57" t="s">
        <v>748</v>
      </c>
    </row>
    <row r="10" spans="1:2" x14ac:dyDescent="0.3">
      <c r="A10" s="58" t="s">
        <v>24</v>
      </c>
      <c r="B10" s="59" t="s">
        <v>749</v>
      </c>
    </row>
    <row r="11" spans="1:2" x14ac:dyDescent="0.3">
      <c r="A11" s="60" t="s">
        <v>27</v>
      </c>
      <c r="B11" s="61" t="s">
        <v>750</v>
      </c>
    </row>
    <row r="12" spans="1:2" x14ac:dyDescent="0.3">
      <c r="A12" s="62" t="s">
        <v>751</v>
      </c>
      <c r="B12" s="63" t="s">
        <v>752</v>
      </c>
    </row>
    <row r="13" spans="1:2" x14ac:dyDescent="0.3">
      <c r="A13" s="64" t="s">
        <v>28</v>
      </c>
      <c r="B13" s="65" t="s">
        <v>753</v>
      </c>
    </row>
    <row r="14" spans="1:2" x14ac:dyDescent="0.3">
      <c r="A14" s="66" t="s">
        <v>26</v>
      </c>
      <c r="B14" s="67" t="s">
        <v>754</v>
      </c>
    </row>
    <row r="15" spans="1:2" x14ac:dyDescent="0.3">
      <c r="A15" s="68" t="s">
        <v>755</v>
      </c>
      <c r="B15" s="69" t="s">
        <v>756</v>
      </c>
    </row>
    <row r="16" spans="1:2" x14ac:dyDescent="0.3">
      <c r="A16" s="70" t="s">
        <v>757</v>
      </c>
      <c r="B16" s="71" t="s">
        <v>758</v>
      </c>
    </row>
    <row r="17" spans="1:2" x14ac:dyDescent="0.3">
      <c r="A17" s="72" t="s">
        <v>759</v>
      </c>
      <c r="B17" s="73" t="s">
        <v>760</v>
      </c>
    </row>
    <row r="18" spans="1:2" x14ac:dyDescent="0.3">
      <c r="A18" s="74" t="s">
        <v>761</v>
      </c>
      <c r="B18" s="75" t="s">
        <v>762</v>
      </c>
    </row>
    <row r="20" spans="1:2" ht="19.95" customHeight="1" x14ac:dyDescent="0.3">
      <c r="A20" s="76" t="s">
        <v>763</v>
      </c>
      <c r="B20" s="77" t="s">
        <v>736</v>
      </c>
    </row>
    <row r="21" spans="1:2" ht="26.4" x14ac:dyDescent="0.3">
      <c r="A21" s="78" t="s">
        <v>5</v>
      </c>
      <c r="B21" s="79" t="s">
        <v>764</v>
      </c>
    </row>
    <row r="22" spans="1:2" ht="26.4" x14ac:dyDescent="0.3">
      <c r="A22" s="80" t="s">
        <v>6</v>
      </c>
      <c r="B22" s="81" t="s">
        <v>765</v>
      </c>
    </row>
    <row r="23" spans="1:2" ht="26.4" x14ac:dyDescent="0.3">
      <c r="A23" s="82" t="s">
        <v>7</v>
      </c>
      <c r="B23" s="83" t="s">
        <v>766</v>
      </c>
    </row>
    <row r="24" spans="1:2" ht="26.4" x14ac:dyDescent="0.3">
      <c r="A24" s="84" t="s">
        <v>8</v>
      </c>
      <c r="B24" s="85" t="s">
        <v>767</v>
      </c>
    </row>
    <row r="25" spans="1:2" x14ac:dyDescent="0.3">
      <c r="A25" s="86" t="s">
        <v>9</v>
      </c>
      <c r="B25" s="87" t="s">
        <v>768</v>
      </c>
    </row>
    <row r="26" spans="1:2" x14ac:dyDescent="0.3">
      <c r="A26" s="88" t="s">
        <v>10</v>
      </c>
      <c r="B26" s="89" t="s">
        <v>769</v>
      </c>
    </row>
    <row r="27" spans="1:2" x14ac:dyDescent="0.3">
      <c r="A27" s="90" t="s">
        <v>11</v>
      </c>
      <c r="B27" s="91" t="s">
        <v>770</v>
      </c>
    </row>
    <row r="28" spans="1:2" ht="26.4" x14ac:dyDescent="0.3">
      <c r="A28" s="92" t="s">
        <v>771</v>
      </c>
      <c r="B28" s="93" t="s">
        <v>772</v>
      </c>
    </row>
    <row r="29" spans="1:2" x14ac:dyDescent="0.3">
      <c r="A29" s="94" t="s">
        <v>16</v>
      </c>
      <c r="B29" s="95" t="s">
        <v>773</v>
      </c>
    </row>
    <row r="30" spans="1:2" ht="26.4" x14ac:dyDescent="0.3">
      <c r="A30" s="96" t="s">
        <v>561</v>
      </c>
      <c r="B30" s="97" t="s">
        <v>774</v>
      </c>
    </row>
    <row r="31" spans="1:2" ht="26.4" x14ac:dyDescent="0.3">
      <c r="A31" s="98" t="s">
        <v>18</v>
      </c>
      <c r="B31" s="99" t="s">
        <v>775</v>
      </c>
    </row>
    <row r="32" spans="1:2" ht="26.4" x14ac:dyDescent="0.3">
      <c r="A32" s="100" t="s">
        <v>776</v>
      </c>
      <c r="B32" s="101" t="s">
        <v>777</v>
      </c>
    </row>
    <row r="33" spans="1:2" ht="26.4" x14ac:dyDescent="0.3">
      <c r="A33" s="102" t="s">
        <v>21</v>
      </c>
      <c r="B33" s="103" t="s">
        <v>778</v>
      </c>
    </row>
    <row r="34" spans="1:2" ht="26.4" x14ac:dyDescent="0.3">
      <c r="A34" s="104" t="s">
        <v>779</v>
      </c>
      <c r="B34" s="105" t="s">
        <v>780</v>
      </c>
    </row>
    <row r="35" spans="1:2" ht="66" x14ac:dyDescent="0.3">
      <c r="A35" s="106" t="s">
        <v>781</v>
      </c>
      <c r="B35" s="107" t="s">
        <v>782</v>
      </c>
    </row>
    <row r="36" spans="1:2" ht="39.6" x14ac:dyDescent="0.3">
      <c r="A36" s="108" t="s">
        <v>783</v>
      </c>
      <c r="B36" s="109" t="s">
        <v>784</v>
      </c>
    </row>
    <row r="37" spans="1:2" x14ac:dyDescent="0.3">
      <c r="A37" s="110" t="s">
        <v>38</v>
      </c>
      <c r="B37" s="111" t="s">
        <v>785</v>
      </c>
    </row>
    <row r="38" spans="1:2" x14ac:dyDescent="0.3">
      <c r="A38" s="112" t="s">
        <v>39</v>
      </c>
      <c r="B38" s="113" t="s">
        <v>786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10"/>
  <sheetViews>
    <sheetView workbookViewId="0">
      <selection activeCell="C10" sqref="C10"/>
    </sheetView>
  </sheetViews>
  <sheetFormatPr baseColWidth="10" defaultColWidth="8.88671875" defaultRowHeight="13.8" x14ac:dyDescent="0.3"/>
  <cols>
    <col min="1" max="1" width="13.21875" bestFit="1" customWidth="1"/>
    <col min="2" max="2" width="28" customWidth="1"/>
    <col min="3" max="3" width="43.88671875" bestFit="1" customWidth="1"/>
    <col min="4" max="4" width="16" customWidth="1"/>
    <col min="5" max="5" width="70" customWidth="1"/>
  </cols>
  <sheetData>
    <row r="1" spans="1:5" ht="31.95" customHeight="1" x14ac:dyDescent="0.3">
      <c r="A1" s="145" t="s">
        <v>804</v>
      </c>
      <c r="B1" s="140"/>
      <c r="C1" s="140"/>
      <c r="D1" s="140"/>
      <c r="E1" s="140"/>
    </row>
    <row r="2" spans="1:5" ht="22.05" customHeight="1" x14ac:dyDescent="0.3">
      <c r="A2" s="145" t="s">
        <v>805</v>
      </c>
      <c r="B2" s="140"/>
      <c r="C2" s="140"/>
      <c r="D2" s="140"/>
      <c r="E2" s="140"/>
    </row>
    <row r="4" spans="1:5" ht="19.95" customHeight="1" x14ac:dyDescent="0.3">
      <c r="A4" s="123" t="s">
        <v>806</v>
      </c>
      <c r="B4" s="123" t="s">
        <v>807</v>
      </c>
      <c r="C4" s="123" t="s">
        <v>808</v>
      </c>
      <c r="D4" s="123" t="s">
        <v>809</v>
      </c>
      <c r="E4" s="123" t="s">
        <v>810</v>
      </c>
    </row>
    <row r="5" spans="1:5" ht="22.05" customHeight="1" x14ac:dyDescent="0.3">
      <c r="A5" s="124" t="s">
        <v>811</v>
      </c>
      <c r="B5" s="125" t="s">
        <v>812</v>
      </c>
      <c r="C5" s="126" t="s">
        <v>813</v>
      </c>
      <c r="D5" s="127" t="s">
        <v>814</v>
      </c>
      <c r="E5" s="126" t="s">
        <v>815</v>
      </c>
    </row>
    <row r="6" spans="1:5" ht="22.05" customHeight="1" x14ac:dyDescent="0.3">
      <c r="A6" s="128" t="s">
        <v>816</v>
      </c>
      <c r="B6" s="129" t="s">
        <v>817</v>
      </c>
      <c r="C6" s="130" t="s">
        <v>818</v>
      </c>
      <c r="D6" s="131" t="s">
        <v>819</v>
      </c>
      <c r="E6" s="132" t="s">
        <v>820</v>
      </c>
    </row>
    <row r="7" spans="1:5" ht="22.05" customHeight="1" x14ac:dyDescent="0.3">
      <c r="A7" s="124" t="s">
        <v>821</v>
      </c>
      <c r="B7" s="125" t="s">
        <v>822</v>
      </c>
      <c r="C7" s="126" t="s">
        <v>823</v>
      </c>
      <c r="D7" s="127" t="s">
        <v>824</v>
      </c>
      <c r="E7" s="126" t="s">
        <v>825</v>
      </c>
    </row>
    <row r="8" spans="1:5" ht="22.05" customHeight="1" x14ac:dyDescent="0.3">
      <c r="A8" s="128" t="s">
        <v>826</v>
      </c>
      <c r="B8" s="129" t="s">
        <v>817</v>
      </c>
      <c r="C8" s="132" t="s">
        <v>827</v>
      </c>
      <c r="D8" s="131" t="s">
        <v>828</v>
      </c>
      <c r="E8" s="132" t="s">
        <v>829</v>
      </c>
    </row>
    <row r="9" spans="1:5" ht="22.05" customHeight="1" x14ac:dyDescent="0.3">
      <c r="A9" s="124" t="s">
        <v>830</v>
      </c>
      <c r="B9" s="125" t="s">
        <v>831</v>
      </c>
      <c r="C9" s="133" t="s">
        <v>832</v>
      </c>
      <c r="D9" s="127" t="s">
        <v>824</v>
      </c>
      <c r="E9" s="126" t="s">
        <v>833</v>
      </c>
    </row>
    <row r="10" spans="1:5" ht="22.05" customHeight="1" x14ac:dyDescent="0.3">
      <c r="A10" s="128" t="s">
        <v>834</v>
      </c>
      <c r="B10" s="129" t="s">
        <v>835</v>
      </c>
      <c r="C10" s="130" t="s">
        <v>836</v>
      </c>
      <c r="D10" s="131" t="s">
        <v>837</v>
      </c>
      <c r="E10" s="132" t="s">
        <v>838</v>
      </c>
    </row>
  </sheetData>
  <mergeCells count="2">
    <mergeCell ref="A1:E1"/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Fondos Estrella</vt:lpstr>
      <vt:lpstr>Riesgo Cartera</vt:lpstr>
      <vt:lpstr>Cartera ATC Investing</vt:lpstr>
      <vt:lpstr>Movimientos</vt:lpstr>
      <vt:lpstr>Carteras Modelo</vt:lpstr>
      <vt:lpstr>Leyenda</vt:lpstr>
      <vt:lpstr>Referidos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Deif</cp:lastModifiedBy>
  <dcterms:created xsi:type="dcterms:W3CDTF">2026-10-27T16:57:31Z</dcterms:created>
  <dcterms:modified xsi:type="dcterms:W3CDTF">2026-10-27T17:24:06Z</dcterms:modified>
</cp:coreProperties>
</file>