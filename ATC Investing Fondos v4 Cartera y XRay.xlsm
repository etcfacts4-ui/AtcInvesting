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 activeTab="1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<sst xmlns="http://schemas.openxmlformats.org/spreadsheetml/2006/main" count="2008" uniqueCount="847">
  <si>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</si>
  <si>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</si>
  <si>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</si>
  <si>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</si>
  <si>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</si>
  <si>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</si>
  <si>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</si>
  <si>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</si>
  <si>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</si>
  <si>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</si>
  <si>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</si>
  <si>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</si>
  <si>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</si>
  <si>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</si>
  <si>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</si>
  <si>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</si>
  <si>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</si>
  <si>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</si>
  <si>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</si>
  <si>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</si>
  <si>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</si>
  <si>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</si>
  <si>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</si>
  <si>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</si>
  <si>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</si>
  <si>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</si>
  <si>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</si>
  <si>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</si>
  <si>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</si>
  <si>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</si>
  <si>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</si>
  <si>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</si>
  <si>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</si>
  <si>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</si>
  <si>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</si>
  <si>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</si>
  <si>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</si>
  <si>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</si>
  <si>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</si>
  <si>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</si>
  <si>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</si>
  <si>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</si>
  <si>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</si>
  <si>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</si>
  <si>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</si>
  <si>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</si>
  <si>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</si>
  <si>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</si>
  <si>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</si>
  <si>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</si>
  <si>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</si>
  <si>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</si>
  <si>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</si>
  <si>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</si>
  <si>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</si>
  <si>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</si>
  <si>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</si>
  <si>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</si>
  <si>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</si>
  <si>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</si>
  <si>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</si>
  <si>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</si>
  <si>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</si>
  <si>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</si>
  <si>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</si>
  <si>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</si>
  <si>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</si>
  <si>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</si>
  <si>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</si>
  <si>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</si>
  <si>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</si>
  <si>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</si>
  <si>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</si>
  <si>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</si>
  <si>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</si>
  <si>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</si>
  <si>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</si>
  <si>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</si>
  <si>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</si>
  <si>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</si>
  <si>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</si>
  <si>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</si>
  <si>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</si>
  <si>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</si>
  <si>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</si>
  <si>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</si>
  <si>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</si>
  <si>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</si>
  <si>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</si>
  <si>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</si>
  <si>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</si>
  <si>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</si>
  <si>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</si>
  <si>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</si>
  <si>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</si>
  <si>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</si>
  <si>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</si>
  <si>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</si>
  <si>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</si>
  <si>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</si>
  <si>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</si>
  <si>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</si>
  <si>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</si>
  <si>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</si>
  <si>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</si>
  <si>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</si>
  <si>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</si>
  <si>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</si>
  <si>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</si>
  <si>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</si>
  <si>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</si>
  <si>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</si>
  <si>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</si>
  <si>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</si>
  <si>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</si>
  <si>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</si>
  <si>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</si>
  <si>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</si>
  <si>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</si>
  <si>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</si>
  <si>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</si>
  <si>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</si>
  <si>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</si>
  <si>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</si>
  <si>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</si>
  <si>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</si>
  <si>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</si>
  <si>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</si>
  <si>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</si>
  <si>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</si>
  <si>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</si>
  <si>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</si>
  <si>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</si>
  <si>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</si>
  <si>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</si>
  <si>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</si>
  <si>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</si>
  <si>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</si>
  <si>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</si>
  <si>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</si>
  <si>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</si>
  <si>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</si>
  <si>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</si>
  <si>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</si>
  <si>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</si>
  <si>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</si>
  <si>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</si>
  <si>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</si>
  <si>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</si>
  <si>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</si>
  <si>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</si>
  <si>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</si>
  <si>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</si>
  <si>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</si>
  <si>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</si>
  <si>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</si>
  <si>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</si>
  <si>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</si>
  <si>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</si>
  <si>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</si>
  <si>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</si>
  <si>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</si>
  <si>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</si>
  <si>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</si>
  <si>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</si>
  <si>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</si>
  <si>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</si>
  <si>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</si>
  <si>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</si>
  <si>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</si>
  <si>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</si>
  <si>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</si>
  <si>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</si>
  <si>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</si>
  <si>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</si>
  <si>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</si>
  <si>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</si>
  <si>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</si>
  <si>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</si>
  <si>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</si>
  <si>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</si>
  <si>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</si>
  <si>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</si>
  <si>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</si>
  <si>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</si>
  <si>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</si>
  <si>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</si>
  <si>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</si>
  <si>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</si>
  <si>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</si>
  <si>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</si>
  <si>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</si>
  <si>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</si>
  <si>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</si>
  <si>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</si>
  <si>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</si>
  <si>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</si>
  <si>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</si>
  <si>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</si>
  <si>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</si>
  <si>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</si>
  <si>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</si>
  <si>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</si>
  <si>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</si>
  <si>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</si>
  <si>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</si>
  <si>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</si>
  <si>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</si>
  <si>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</si>
  <si>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</si>
  <si>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</si>
  <si>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</si>
  <si>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</si>
  <si>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</si>
  <si>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</si>
  <si>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</si>
  <si>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</si>
  <si>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</si>
  <si>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</si>
  <si>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</si>
  <si>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</si>
  <si>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</si>
  <si>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</si>
  <si>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</si>
  <si>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</si>
  <si>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</si>
  <si>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</si>
  <si>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</si>
  <si>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</si>
  <si>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</si>
  <si>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</si>
  <si>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</si>
  <si>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</si>
  <si>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</si>
  <si>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</si>
  <si>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</si>
  <si>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</si>
  <si>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</si>
  <si>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</si>
  <si>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</si>
  <si>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</si>
  <si>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</si>
  <si>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</si>
  <si>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</si>
  <si>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</si>
  <si>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</si>
  <si>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</si>
  <si>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</si>
  <si>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</si>
  <si>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</si>
  <si>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</si>
  <si>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</si>
  <si>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</si>
  <si>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</si>
  <si>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</si>
  <si>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</si>
  <si>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</si>
  <si>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</si>
  <si>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</si>
  <si>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</si>
  <si>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</si>
  <si>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</si>
  <si>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</si>
  <si>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</si>
  <si>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</si>
  <si>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</si>
  <si>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</si>
  <si>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</si>
  <si>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</si>
  <si>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</si>
  <si>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</si>
  <si>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</si>
  <si>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</si>
  <si>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</si>
  <si>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</si>
  <si>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</si>
  <si>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</si>
  <si>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</si>
  <si>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</si>
  <si>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</si>
  <si>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</si>
  <si>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</si>
  <si>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</si>
  <si>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</si>
  <si>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</si>
  <si>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</si>
  <si>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</si>
  <si>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</si>
  <si>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</si>
  <si>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</si>
  <si>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</si>
  <si>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</si>
  <si>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</si>
  <si>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</si>
  <si>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</si>
  <si>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</si>
  <si>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</si>
  <si>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</si>
  <si>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</si>
  <si>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</si>
  <si>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</si>
  <si>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</si>
  <si>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</si>
  <si>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</si>
  <si>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</si>
  <si>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</si>
  <si>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</si>
  <si>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</si>
  <si>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</si>
  <si>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</si>
  <si>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</si>
  <si>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</si>
  <si>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</si>
  <si>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</si>
  <si>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</si>
  <si>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</si>
  <si>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</si>
  <si>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</si>
  <si>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</si>
  <si>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</si>
  <si>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</si>
  <si>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</si>
  <si>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</si>
  <si>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</si>
  <si>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</si>
  <si>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</si>
  <si>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</si>
  <si>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</si>
  <si>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</si>
  <si>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</si>
  <si>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</si>
  <si>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</si>
  <si>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</si>
  <si>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</si>
  <si>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</si>
  <si>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</si>
  <si>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</si>
  <si>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</si>
  <si>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</si>
  <si>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</si>
  <si>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</si>
  <si>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</si>
  <si>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</si>
  <si>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</si>
  <si>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</si>
  <si>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</si>
  <si>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</si>
  <si>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</si>
  <si>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</si>
  <si>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</si>
  <si>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</si>
  <si>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</si>
  <si>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</si>
  <si>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</si>
  <si>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</si>
  <si>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</si>
  <si>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</si>
  <si>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</si>
  <si>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</si>
  <si>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</si>
  <si>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</si>
  <si>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</si>
  <si>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</si>
  <si>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</si>
  <si>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</si>
  <si>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</si>
  <si>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</si>
  <si>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</si>
  <si>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</si>
  <si>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</si>
  <si>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</si>
  <si>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</si>
  <si>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</si>
  <si>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</si>
  <si>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</si>
  <si>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</si>
  <si>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</si>
  <si>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</si>
  <si>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</si>
  <si>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</si>
  <si>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</si>
  <si>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</si>
  <si>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</si>
  <si>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</si>
  <si>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</si>
  <si>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</si>
  <si>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</si>
  <si>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</si>
  <si>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</si>
  <si>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</si>
  <si>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</si>
  <si>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</si>
  <si>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</si>
  <si>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</si>
  <si>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</si>
  <si>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</si>
  <si>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</si>
  <si>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</si>
  <si>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</si>
  <si>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</si>
  <si>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</si>
  <si>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</si>
  <si>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</si>
  <si>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</si>
  <si>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</si>
  <si>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</si>
  <si>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</si>
  <si>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</si>
  <si>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</si>
  <si>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</si>
  <si>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</si>
  <si>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</si>
  <si>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</si>
  <si>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</si>
  <si>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</si>
  <si>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</si>
  <si>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</si>
  <si>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</si>
  <si>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</si>
  <si>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</si>
  <si>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</si>
  <si>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</si>
  <si>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</si>
  <si>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</si>
  <si>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</si>
  <si>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</si>
  <si>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</si>
  <si>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</si>
  <si>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</si>
  <si>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</si>
  <si>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</si>
  <si>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</si>
  <si>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</si>
  <si>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</si>
  <si>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</si>
  <si>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</si>
  <si>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</si>
  <si>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</si>
  <si>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</si>
  <si>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</si>
  <si>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</si>
  <si>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</si>
  <si>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</si>
  <si>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</si>
  <si>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</si>
  <si>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</si>
  <si>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</si>
  <si>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</si>
  <si>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</si>
  <si>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</si>
  <si>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</si>
  <si>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</si>
  <si>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</si>
  <si>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</si>
  <si>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</si>
  <si>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</si>
  <si>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</si>
  <si>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</si>
  <si>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</si>
  <si>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</si>
  <si>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</si>
  <si>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</si>
  <si>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</si>
  <si>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</si>
  <si>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</si>
  <si>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</si>
  <si>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</si>
  <si>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</si>
  <si>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</si>
  <si>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</si>
  <si>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</si>
  <si>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</si>
  <si>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</si>
  <si>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</si>
  <si>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</si>
  <si>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</si>
  <si>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</si>
  <si>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</si>
  <si>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</si>
  <si>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</si>
  <si>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</si>
  <si>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</si>
  <si>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</si>
  <si>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</si>
  <si>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</si>
  <si>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</si>
  <si>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</si>
  <si>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</si>
  <si>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</si>
  <si>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</si>
  <si>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</si>
  <si>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</si>
  <si>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</si>
  <si>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</si>
  <si>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</si>
  <si>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</si>
  <si>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</si>
  <si>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</si>
  <si>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</si>
  <si>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</si>
  <si>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</si>
  <si>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</si>
  <si>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</si>
  <si>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</si>
  <si>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</si>
  <si>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</si>
  <si>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</si>
  <si>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</si>
  <si>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</si>
  <si>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</si>
  <si>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</si>
  <si>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</si>
  <si>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</si>
  <si>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</si>
  <si>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</si>
  <si>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</si>
  <si>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</si>
  <si>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</si>
  <si>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</si>
  <si>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</si>
  <si>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</si>
  <si>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</si>
  <si>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</si>
  <si>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</si>
  <si>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</si>
  <si>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</si>
  <si>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</si>
  <si>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</si>
  <si>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</si>
  <si>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</si>
  <si>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</si>
  <si>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</si>
  <si>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</si>
  <si>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</si>
  <si>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</si>
  <si>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</si>
  <si>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</si>
  <si>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</si>
  <si>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</si>
  <si>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</si>
  <si>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</si>
  <si>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</si>
  <si>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</si>
  <si>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</si>
  <si>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</si>
  <si>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</si>
  <si>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</si>
  <si>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</si>
  <si>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</si>
  <si>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</si>
  <si>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</si>
  <si>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</si>
  <si>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</si>
  <si>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</si>
  <si>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</si>
  <si>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</si>
  <si>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</si>
  <si>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</si>
  <si>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</si>
  <si>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</si>
  <si>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</si>
  <si>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</si>
  <si>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</si>
  <si>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</si>
  <si>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</si>
  <si>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</si>
  <si>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</si>
  <si>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</si>
  <si>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</si>
  <si>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</si>
  <si>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</si>
  <si>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</si>
  <si>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</si>
  <si>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</si>
  <si>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</si>
  <si>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</si>
  <si>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</si>
  <si>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</si>
  <si>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</si>
  <si>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</si>
  <si>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</si>
  <si>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</si>
  <si>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</si>
  <si>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</si>
  <si>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</si>
  <si>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</si>
  <si>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</si>
  <si>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</si>
  <si>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</si>
  <si>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</si>
  <si>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</si>
  <si>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</si>
  <si>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</si>
  <si>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</si>
  <si>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</si>
  <si>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</si>
  <si>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</si>
  <si>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</si>
  <si>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</si>
  <si>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</si>
  <si>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</si>
  <si>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</si>
  <si>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</si>
  <si>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</si>
  <si>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</si>
  <si>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</si>
  <si>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</si>
  <si>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</si>
  <si>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</si>
  <si>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</si>
  <si>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</si>
  <si>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</si>
  <si>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</si>
  <si>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</si>
  <si>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</si>
  <si>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</si>
  <si>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</si>
  <si>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</si>
  <si>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</si>
  <si>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</si>
  <si>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</si>
  <si>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</si>
  <si>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</si>
  <si>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</si>
  <si>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</si>
  <si>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</si>
  <si>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</si>
  <si>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</si>
  <si>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</si>
  <si>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</si>
  <si>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</si>
  <si>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</si>
  <si>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</si>
  <si>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</si>
  <si>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</si>
  <si>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</si>
  <si>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</si>
  <si>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</si>
  <si>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</si>
  <si>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</si>
  <si>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</si>
  <si>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</si>
  <si>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</si>
  <si>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</si>
  <si>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</si>
  <si>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</si>
  <si>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</si>
  <si>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</si>
  <si>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</si>
  <si>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</si>
  <si>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</si>
  <si>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</si>
  <si>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</si>
  <si>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</si>
  <si>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</si>
  <si>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</si>
  <si>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</si>
  <si>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</si>
  <si>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</si>
  <si>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</si>
  <si>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</si>
  <si>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</si>
  <si>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</si>
  <si>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</si>
  <si>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</si>
  <si>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</si>
  <si>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</si>
  <si>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</si>
  <si>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</si>
  <si>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</si>
  <si>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</si>
  <si>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</si>
  <si>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</si>
  <si>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</si>
  <si>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</si>
  <si>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</si>
  <si>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</si>
  <si>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</si>
  <si>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</si>
  <si>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</si>
  <si>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</si>
  <si>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</si>
  <si>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</si>
  <si>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</si>
  <si>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</si>
  <si>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</si>
  <si>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</si>
  <si>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</si>
  <si>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</si>
  <si>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</si>
  <si>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</si>
  <si>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</si>
  <si>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</si>
  <si>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</si>
  <si>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</si>
  <si>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</si>
  <si>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</si>
  <si>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</si>
  <si>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</si>
  <si>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</si>
  <si>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</si>
  <si>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</si>
  <si>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</si>
  <si>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</si>
  <si>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</si>
  <si>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</si>
  <si>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</si>
  <si>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</si>
  <si>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</si>
  <si>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</si>
  <si>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</si>
  <si>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</si>
  <si>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</si>
  <si>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</si>
  <si>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</si>
  <si>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</si>
  <si>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</si>
  <si>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</si>
  <si>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</si>
  <si>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</si>
  <si>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</si>
  <si>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</si>
  <si>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</si>
  <si>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</si>
  <si>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</si>
  <si>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</si>
  <si>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</si>
  <si>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</si>
  <si>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</si>
  <si>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</si>
  <si>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</si>
  <si>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</si>
  <si>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</si>
  <si>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</si>
  <si>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</si>
  <si>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</si>
  <si>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</si>
  <si>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</si>
  <si>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</si>
  <si>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</si>
  <si>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</si>
  <si>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</si>
  <si>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</si>
  <si>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</si>
  <si>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</si>
  <si>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</si>
  <si>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</si>
  <si>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</si>
  <si>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</si>
  <si>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</si>
  <si>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</si>
  <si>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</si>
  <si>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</si>
  <si>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</si>
  <si>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</si>
  <si>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</si>
  <si>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</si>
  <si>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</si>
  <si>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</si>
  <si>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</si>
  <si>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</si>
  <si>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</si>
  <si>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</si>
  <si>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</si>
  <si>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</si>
  <si>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</si>
  <si>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</si>
  <si>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</si>
  <si>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</si>
  <si>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</si>
  <si>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</si>
  <si>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</si>
  <si>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</si>
  <si>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</si>
  <si>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</si>
  <si>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</si>
  <si>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</si>
  <si>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</si>
  <si>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</si>
  <si>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</si>
  <si>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</si>
  <si>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</si>
  <si>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</si>
  <si>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</si>
  <si>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</si>
  <si>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</si>
  <si>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</si>
  <si>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</si>
  <si>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</si>
  <si>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</si>
  <si>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</si>
  <si>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</si>
  <si>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</si>
  <si>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</si>
  <si>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</si>
  <si>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</si>
  <si>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</si>
  <si>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</si>
  <si>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</si>
  <si>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</si>
  <si>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</si>
  <si>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</si>
  <si>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</si>
  <si>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</si>
  <si>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</si>
  <si>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Todas ellas son las empresas con las que tengo contratados mis suministros o donde realizo mis inversiones.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</si>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</sst>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6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05" fillId="0" borderId="0" xfId="0" applyFont="1"/>
    <xf numFmtId="0" fontId="19" fillId="0" borderId="0" xfId="0" applyFont="1" applyAlignment="1">
      <alignment horizontal="left" vertical="center"/>
    </xf>
    <xf numFmtId="0" fontId="0" fillId="0" borderId="0" xfId="0"/>
    <xf numFmtId="0" fontId="95" fillId="5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</cellXfs>
  <cellStyles count="1"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workbookViewId="0">
      <pane xSplit="1" ySplit="1" topLeftCell="B2" activePane="bottomRight" state="frozen"/>
      <selection pane="topRight"/>
      <selection pane="bottomLeft"/>
      <selection pane="bottomRight" activeCell="G8" sqref="G8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843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841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840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842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tabSelected="1" workbookViewId="0">
      <selection activeCell="E12" sqref="E12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94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61</v>
      </c>
      <c r="C5" s="12">
        <v>1</v>
      </c>
      <c r="D5" s="5">
        <f t="shared" ref="D5:D44" si="0">IF(AND(ISNUMBER($B5),ISNUMBER($C5)),$B5*$C5,"")</f>
        <v>61</v>
      </c>
      <c r="F5" s="28" t="s">
        <v>536</v>
      </c>
      <c r="G5" s="29">
        <f>IFERROR(SUM($D$5:$D$44)/SUMPRODUCT(--ISNUMBER($B$5:$B$44),$C$5:$C$44),"")</f>
        <v>61</v>
      </c>
      <c r="M5" t="s">
        <v>384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0.17780000686645508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0.20499999999999999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0.11350000381469727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0.12579999923706053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61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17.909999847412109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0.51999998092651367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13.310000419616699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0.2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0.14000000059604645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1.0199999809265137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99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101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-0.12479999542236328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-7.9600000381469721E-2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0.97790000915527342</v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4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0.76400001525878902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0.14880000114440917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8.1899995803833003E-2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5.199999809265137E-3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0.31209999084472656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9.7399997711181643E-2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0.15689999580383301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8.1599998474121097E-2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2.9500000476837158E-2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5.059999942779541E-2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4.4299998283386231E-2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8.619999885559082E-2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0.10249999999999999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1.590000033378601E-2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2.309999942779541E-2</v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>F00000SCLE</v>
      </c>
      <c r="BM5">
        <f t="shared" ref="BM5:BM44" si="2">IF(AND(LEN($BL5)&gt;0,ISNUMBER($C5),$C5&gt;0),ROUND($C5/SUMPRODUCT(--(LEN($BL$5:$BL$44)&gt;0),$C$5:$C$44)*10000,0),"")</f>
        <v>10000</v>
      </c>
      <c r="BN5" t="str">
        <f>IF(AND(LEN($BL5)&gt;0,ISNUMBER($C5),$C5&gt;0),$BL5&amp;"%7C","")</f>
        <v>F00000SCLE%7C</v>
      </c>
      <c r="BO5" t="str">
        <f>IF(AND(LEN($BL5)&gt;0,ISNUMBER($C5),$C5&gt;0),$BM5&amp;"%7C","")</f>
        <v>10000%7C</v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1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>F00000SCLE%7C</v>
      </c>
      <c r="BO6" t="str">
        <f t="shared" ref="BO6:BO44" si="4">$BO5&amp;IF(AND(LEN($BL6)&gt;0,ISNUMBER($C6),$C6&gt;0),$BM6&amp;"%7C","")</f>
        <v>10000%7C</v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>F00000SCLE%7C</v>
      </c>
      <c r="BO7" t="str">
        <f t="shared" si="4"/>
        <v>10000%7C</v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>F00000SCLE%7C</v>
      </c>
      <c r="BO8" t="str">
        <f t="shared" si="4"/>
        <v>10000%7C</v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>F00000SCLE%7C</v>
      </c>
      <c r="BO9" t="str">
        <f t="shared" si="4"/>
        <v>10000%7C</v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>F00000SCLE%7C</v>
      </c>
      <c r="BO10" t="str">
        <f t="shared" si="4"/>
        <v>10000%7C</v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>F00000SCLE%7C</v>
      </c>
      <c r="BO11" t="str">
        <f t="shared" si="4"/>
        <v>10000%7C</v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>F00000SCLE%7C</v>
      </c>
      <c r="BO12" t="str">
        <f t="shared" si="4"/>
        <v>10000%7C</v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>F00000SCLE%7C</v>
      </c>
      <c r="BO13" t="str">
        <f t="shared" si="4"/>
        <v>10000%7C</v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>F00000SCLE%7C</v>
      </c>
      <c r="BO14" t="str">
        <f t="shared" si="4"/>
        <v>10000%7C</v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>
        <f>IF(ISNUMBER($G$5),0.03+MIN(100,MAX(0,$G$5))/100*(0.13-0.03),"")</f>
        <v>9.0999999999999998E-2</v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>F00000SCLE%7C</v>
      </c>
      <c r="BO15" t="str">
        <f t="shared" si="4"/>
        <v>10000%7C</v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>
        <f>IF(ISNUMBER($G$5),0+MIN(100,MAX(0,$G$5))/100*(0.5-0),"")</f>
        <v>0.30499999999999999</v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>F00000SCLE%7C</v>
      </c>
      <c r="BO16" t="str">
        <f t="shared" si="4"/>
        <v>10000%7C</v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>F00000SCLE%7C</v>
      </c>
      <c r="BO17" t="str">
        <f t="shared" si="4"/>
        <v>10000%7C</v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>F00000SCLE%7C</v>
      </c>
      <c r="BO18" t="str">
        <f t="shared" si="4"/>
        <v>10000%7C</v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>F00000SCLE%7C</v>
      </c>
      <c r="BO19" t="str">
        <f t="shared" si="4"/>
        <v>10000%7C</v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>F00000SCLE%7C</v>
      </c>
      <c r="BO20" t="str">
        <f t="shared" si="4"/>
        <v>10000%7C</v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>F00000SCLE%7C</v>
      </c>
      <c r="BO21" t="str">
        <f t="shared" si="4"/>
        <v>10000%7C</v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>F00000SCLE%7C</v>
      </c>
      <c r="BO22" t="str">
        <f t="shared" si="4"/>
        <v>10000%7C</v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>F00000SCLE%7C</v>
      </c>
      <c r="BO23" t="str">
        <f t="shared" si="4"/>
        <v>10000%7C</v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>F00000SCLE%7C</v>
      </c>
      <c r="BO24" t="str">
        <f t="shared" si="4"/>
        <v>10000%7C</v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>F00000SCLE%7C</v>
      </c>
      <c r="BO25" t="str">
        <f t="shared" si="4"/>
        <v>10000%7C</v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>F00000SCLE%7C</v>
      </c>
      <c r="BO26" t="str">
        <f t="shared" si="4"/>
        <v>10000%7C</v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>F00000SCLE%7C</v>
      </c>
      <c r="BO27" t="str">
        <f t="shared" si="4"/>
        <v>10000%7C</v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>F00000SCLE%7C</v>
      </c>
      <c r="BO28" t="str">
        <f t="shared" si="4"/>
        <v>10000%7C</v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>F00000SCLE%7C</v>
      </c>
      <c r="BO29" t="str">
        <f t="shared" si="4"/>
        <v>10000%7C</v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>F00000SCLE%7C</v>
      </c>
      <c r="BO30" t="str">
        <f t="shared" si="4"/>
        <v>10000%7C</v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>F00000SCLE%7C</v>
      </c>
      <c r="BO31" t="str">
        <f t="shared" si="4"/>
        <v>10000%7C</v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>F00000SCLE%7C</v>
      </c>
      <c r="BO32" t="str">
        <f t="shared" si="4"/>
        <v>10000%7C</v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39" t="s">
        <v>554</v>
      </c>
      <c r="G33" s="140"/>
      <c r="H33" s="140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>F00000SCLE%7C</v>
      </c>
      <c r="BO33" t="str">
        <f t="shared" si="4"/>
        <v>10000%7C</v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39" t="s">
        <v>555</v>
      </c>
      <c r="G34" s="140"/>
      <c r="H34" s="140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>F00000SCLE%7C</v>
      </c>
      <c r="BO34" t="str">
        <f t="shared" si="4"/>
        <v>10000%7C</v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846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>F00000SCLE%7C</v>
      </c>
      <c r="BO35" t="str">
        <f t="shared" si="4"/>
        <v>10000%7C</v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https://lt.morningstar.com/j2uwuwirpv/xraypdf/default.aspx?LanguageId=es-ES&amp;CurrencyId=EUR&amp;securityIds=F00000SCLE%7C&amp;marketValues=10000%7C&amp;typeids=FO%7C</v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>F00000SCLE%7C</v>
      </c>
      <c r="BO36" t="str">
        <f t="shared" si="4"/>
        <v>10000%7C</v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>F00000SCLE%7C</v>
      </c>
      <c r="BO37" t="str">
        <f t="shared" si="4"/>
        <v>10000%7C</v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38" t="s">
        <v>844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>F00000SCLE%7C</v>
      </c>
      <c r="BO38" t="str">
        <f t="shared" si="4"/>
        <v>10000%7C</v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38" t="s">
        <v>845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>F00000SCLE%7C</v>
      </c>
      <c r="BO39" t="str">
        <f t="shared" si="4"/>
        <v>10000%7C</v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>F00000SCLE%7C</v>
      </c>
      <c r="BO40" t="str">
        <f t="shared" si="4"/>
        <v>10000%7C</v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>F00000SCLE%7C</v>
      </c>
      <c r="BO41" t="str">
        <f t="shared" si="4"/>
        <v>10000%7C</v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>F00000SCLE%7C</v>
      </c>
      <c r="BO42" t="str">
        <f t="shared" si="4"/>
        <v>10000%7C</v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>F00000SCLE%7C</v>
      </c>
      <c r="BO43" t="str">
        <f t="shared" si="4"/>
        <v>10000%7C</v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>F00000SCLE%7C</v>
      </c>
      <c r="BO44" t="str">
        <f t="shared" si="4"/>
        <v>10000%7C</v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0.17780000686645508</v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0.20499999999999999</v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0.11350000381469727</v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0.12579999923706053</v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61</v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17.909999847412109</v>
      </c>
      <c r="C52" s="33" t="str">
        <f>IF(AND(ISNUMBER($B52),$B52&gt;20),"Tu cartera tiene un PER demasiado elevado",IF(AND(ISNUMBER($B52),$B52&gt;=16,$B52&lt;=20),"Tu cartera tiene un PER algo elevado",""))</f>
        <v>Tu cartera tiene un PER algo elevado</v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0.51999998092651367</v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13.310000419616699</v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0.2</v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0.14000000059604645</v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1.0199999809265137</v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99</v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101</v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-0.12479999542236328</v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-7.9600000381469721E-2</v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0.97790000915527342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</v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0.76400001525878902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>Estás sobreponderando significativamente EEUU. Una concentración excesiva en este mercado aumenta la dependencia de tu cartera de su evolución y puede elevar el riesgo.</v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0.14880000114440917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>Estás infraponderando significativamente Europa, lo que reduce tu exposición a este mercado y a las oportunidades que pueda ofrecer.</v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8.1899995803833003E-2</v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5.199999809265137E-3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>Estás infraponderando significativamente los mercados emergentes, por lo que tendrás menor exposición a su potencial de crecimiento y a las oportunidades que puedan surgir en estas economías.</v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0.31209999084472656</v>
      </c>
      <c r="C69" s="33" t="str">
        <f t="shared" ref="C69:C79" si="5">IF(AND(ISNUMBER($B69),$B69&gt;=0.2),"Podría ser que estuvieras demasiado expuesto a este sector","")</f>
        <v>Podría ser que estuvieras demasiado expuesto a este sector</v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9.7399997711181643E-2</v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0.15689999580383301</v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8.1599998474121097E-2</v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2.9500000476837158E-2</v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5.059999942779541E-2</v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4.4299998283386231E-2</v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8.619999885559082E-2</v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0.10249999999999999</v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1.590000033378601E-2</v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2.309999942779541E-2</v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topLeftCell="A16"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39" t="s">
        <v>554</v>
      </c>
      <c r="G33" s="140"/>
      <c r="H33" s="140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39" t="s">
        <v>555</v>
      </c>
      <c r="G34" s="140"/>
      <c r="H34" s="140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38" t="s">
        <v>844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38" t="s">
        <v>845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1" t="s">
        <v>788</v>
      </c>
      <c r="B3" s="140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2" t="s">
        <v>789</v>
      </c>
      <c r="B5" s="140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1" t="s">
        <v>790</v>
      </c>
      <c r="B7" s="140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2" t="s">
        <v>791</v>
      </c>
      <c r="B9" s="140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1" t="s">
        <v>792</v>
      </c>
      <c r="B11" s="140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2" t="s">
        <v>793</v>
      </c>
      <c r="B13" s="140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3" t="s">
        <v>795</v>
      </c>
      <c r="B17" s="140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2" t="s">
        <v>796</v>
      </c>
      <c r="B19" s="140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3" t="s">
        <v>798</v>
      </c>
      <c r="B21" s="140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2" t="s">
        <v>799</v>
      </c>
      <c r="B23" s="140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3" t="s">
        <v>800</v>
      </c>
      <c r="B25" s="140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4" t="s">
        <v>803</v>
      </c>
      <c r="B29" s="140"/>
    </row>
  </sheetData>
  <mergeCells count="12">
    <mergeCell ref="A25:B25"/>
    <mergeCell ref="A29:B29"/>
    <mergeCell ref="A13:B13"/>
    <mergeCell ref="A17:B17"/>
    <mergeCell ref="A19:B19"/>
    <mergeCell ref="A21:B21"/>
    <mergeCell ref="A23:B23"/>
    <mergeCell ref="A3:B3"/>
    <mergeCell ref="A5:B5"/>
    <mergeCell ref="A7:B7"/>
    <mergeCell ref="A9:B9"/>
    <mergeCell ref="A11:B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0"/>
  <sheetViews>
    <sheetView workbookViewId="0">
      <selection activeCell="C10" sqref="C10"/>
    </sheetView>
  </sheetViews>
  <sheetFormatPr baseColWidth="10" defaultColWidth="8.88671875" defaultRowHeight="13.8" x14ac:dyDescent="0.3"/>
  <cols>
    <col min="1" max="1" width="13.21875" bestFit="1" customWidth="1"/>
    <col min="2" max="2" width="28" customWidth="1"/>
    <col min="3" max="3" width="43.88671875" bestFit="1" customWidth="1"/>
    <col min="4" max="4" width="16" customWidth="1"/>
    <col min="5" max="5" width="70" customWidth="1"/>
  </cols>
  <sheetData>
    <row r="1" spans="1:5" ht="31.95" customHeight="1" x14ac:dyDescent="0.3">
      <c r="A1" s="145" t="s">
        <v>804</v>
      </c>
      <c r="B1" s="140"/>
      <c r="C1" s="140"/>
      <c r="D1" s="140"/>
      <c r="E1" s="140"/>
    </row>
    <row r="2" spans="1:5" ht="22.05" customHeight="1" x14ac:dyDescent="0.3">
      <c r="A2" s="145" t="s">
        <v>805</v>
      </c>
      <c r="B2" s="140"/>
      <c r="C2" s="140"/>
      <c r="D2" s="140"/>
      <c r="E2" s="140"/>
    </row>
    <row r="4" spans="1:5" ht="19.95" customHeight="1" x14ac:dyDescent="0.3">
      <c r="A4" s="123" t="s">
        <v>806</v>
      </c>
      <c r="B4" s="123" t="s">
        <v>807</v>
      </c>
      <c r="C4" s="123" t="s">
        <v>808</v>
      </c>
      <c r="D4" s="123" t="s">
        <v>809</v>
      </c>
      <c r="E4" s="123" t="s">
        <v>810</v>
      </c>
    </row>
    <row r="5" spans="1:5" ht="22.05" customHeight="1" x14ac:dyDescent="0.3">
      <c r="A5" s="124" t="s">
        <v>811</v>
      </c>
      <c r="B5" s="125" t="s">
        <v>812</v>
      </c>
      <c r="C5" s="126" t="s">
        <v>813</v>
      </c>
      <c r="D5" s="127" t="s">
        <v>814</v>
      </c>
      <c r="E5" s="126" t="s">
        <v>815</v>
      </c>
    </row>
    <row r="6" spans="1:5" ht="22.05" customHeight="1" x14ac:dyDescent="0.3">
      <c r="A6" s="128" t="s">
        <v>816</v>
      </c>
      <c r="B6" s="129" t="s">
        <v>817</v>
      </c>
      <c r="C6" s="130" t="s">
        <v>818</v>
      </c>
      <c r="D6" s="131" t="s">
        <v>819</v>
      </c>
      <c r="E6" s="132" t="s">
        <v>820</v>
      </c>
    </row>
    <row r="7" spans="1:5" ht="22.05" customHeight="1" x14ac:dyDescent="0.3">
      <c r="A7" s="124" t="s">
        <v>821</v>
      </c>
      <c r="B7" s="125" t="s">
        <v>822</v>
      </c>
      <c r="C7" s="126" t="s">
        <v>823</v>
      </c>
      <c r="D7" s="127" t="s">
        <v>824</v>
      </c>
      <c r="E7" s="126" t="s">
        <v>825</v>
      </c>
    </row>
    <row r="8" spans="1:5" ht="22.05" customHeight="1" x14ac:dyDescent="0.3">
      <c r="A8" s="128" t="s">
        <v>826</v>
      </c>
      <c r="B8" s="129" t="s">
        <v>817</v>
      </c>
      <c r="C8" s="132" t="s">
        <v>827</v>
      </c>
      <c r="D8" s="131" t="s">
        <v>828</v>
      </c>
      <c r="E8" s="132" t="s">
        <v>829</v>
      </c>
    </row>
    <row r="9" spans="1:5" ht="22.05" customHeight="1" x14ac:dyDescent="0.3">
      <c r="A9" s="124" t="s">
        <v>830</v>
      </c>
      <c r="B9" s="125" t="s">
        <v>831</v>
      </c>
      <c r="C9" s="133" t="s">
        <v>832</v>
      </c>
      <c r="D9" s="127" t="s">
        <v>824</v>
      </c>
      <c r="E9" s="126" t="s">
        <v>833</v>
      </c>
    </row>
    <row r="10" spans="1:5" ht="22.05" customHeight="1" x14ac:dyDescent="0.3">
      <c r="A10" s="128" t="s">
        <v>834</v>
      </c>
      <c r="B10" s="129" t="s">
        <v>835</v>
      </c>
      <c r="C10" s="130" t="s">
        <v>836</v>
      </c>
      <c r="D10" s="131" t="s">
        <v>837</v>
      </c>
      <c r="E10" s="132" t="s">
        <v>838</v>
      </c>
    </row>
  </sheetData>
  <mergeCells count="2">
    <mergeCell ref="A1:E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2026-10-27T17:23:19Z</dcterms:modified>
</cp:coreProperties>
</file>